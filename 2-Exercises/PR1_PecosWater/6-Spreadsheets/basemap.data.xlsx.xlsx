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clevel\Desktop\PecosPipeline\"/>
    </mc:Choice>
  </mc:AlternateContent>
  <bookViews>
    <workbookView xWindow="0" yWindow="0" windowWidth="13740" windowHeight="11655" tabRatio="500" firstSheet="2" activeTab="5"/>
  </bookViews>
  <sheets>
    <sheet name="Links" sheetId="1" r:id="rId1"/>
    <sheet name="Nodes" sheetId="2" r:id="rId2"/>
    <sheet name="VelocityHead" sheetId="5" r:id="rId3"/>
    <sheet name="Sheet1" sheetId="3" r:id="rId4"/>
    <sheet name="Case1" sheetId="4" r:id="rId5"/>
    <sheet name="Case2" sheetId="6" r:id="rId6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78" i="6" l="1"/>
  <c r="G78" i="6" s="1"/>
  <c r="I78" i="6"/>
  <c r="F78" i="6" s="1"/>
  <c r="J77" i="6"/>
  <c r="G77" i="6" s="1"/>
  <c r="I77" i="6"/>
  <c r="F77" i="6" s="1"/>
  <c r="J76" i="6"/>
  <c r="G76" i="6" s="1"/>
  <c r="I76" i="6"/>
  <c r="F76" i="6" s="1"/>
  <c r="J75" i="6"/>
  <c r="I75" i="6"/>
  <c r="G75" i="6"/>
  <c r="F75" i="6"/>
  <c r="J74" i="6"/>
  <c r="G74" i="6" s="1"/>
  <c r="I74" i="6"/>
  <c r="F74" i="6" s="1"/>
  <c r="J73" i="6"/>
  <c r="I73" i="6"/>
  <c r="G73" i="6"/>
  <c r="F73" i="6"/>
  <c r="J72" i="6"/>
  <c r="G72" i="6" s="1"/>
  <c r="I72" i="6"/>
  <c r="F72" i="6" s="1"/>
  <c r="J71" i="6"/>
  <c r="I71" i="6"/>
  <c r="G71" i="6"/>
  <c r="F71" i="6"/>
  <c r="J70" i="6"/>
  <c r="G70" i="6" s="1"/>
  <c r="I70" i="6"/>
  <c r="F70" i="6" s="1"/>
  <c r="J69" i="6"/>
  <c r="I69" i="6"/>
  <c r="G69" i="6"/>
  <c r="F69" i="6"/>
  <c r="J68" i="6"/>
  <c r="G68" i="6" s="1"/>
  <c r="I68" i="6"/>
  <c r="F68" i="6" s="1"/>
  <c r="J67" i="6"/>
  <c r="I67" i="6"/>
  <c r="G67" i="6"/>
  <c r="F67" i="6"/>
  <c r="J66" i="6"/>
  <c r="G66" i="6" s="1"/>
  <c r="I66" i="6"/>
  <c r="F66" i="6" s="1"/>
  <c r="J65" i="6"/>
  <c r="I65" i="6"/>
  <c r="G65" i="6"/>
  <c r="F65" i="6"/>
  <c r="J64" i="6"/>
  <c r="G64" i="6" s="1"/>
  <c r="I64" i="6"/>
  <c r="F64" i="6" s="1"/>
  <c r="J63" i="6"/>
  <c r="I63" i="6"/>
  <c r="G63" i="6"/>
  <c r="F63" i="6"/>
  <c r="J62" i="6"/>
  <c r="G62" i="6" s="1"/>
  <c r="I62" i="6"/>
  <c r="F62" i="6" s="1"/>
  <c r="J61" i="6"/>
  <c r="I61" i="6"/>
  <c r="G61" i="6"/>
  <c r="F61" i="6"/>
  <c r="J60" i="6"/>
  <c r="G60" i="6" s="1"/>
  <c r="I60" i="6"/>
  <c r="F60" i="6" s="1"/>
  <c r="J59" i="6"/>
  <c r="I59" i="6"/>
  <c r="G59" i="6"/>
  <c r="F59" i="6"/>
  <c r="J58" i="6"/>
  <c r="G58" i="6" s="1"/>
  <c r="I58" i="6"/>
  <c r="F58" i="6" s="1"/>
  <c r="J57" i="6"/>
  <c r="I57" i="6"/>
  <c r="G57" i="6"/>
  <c r="F57" i="6"/>
  <c r="J56" i="6"/>
  <c r="G56" i="6" s="1"/>
  <c r="I56" i="6"/>
  <c r="F56" i="6" s="1"/>
  <c r="J55" i="6"/>
  <c r="I55" i="6"/>
  <c r="G55" i="6"/>
  <c r="F55" i="6"/>
  <c r="J54" i="6"/>
  <c r="G54" i="6" s="1"/>
  <c r="I54" i="6"/>
  <c r="F54" i="6" s="1"/>
  <c r="J53" i="6"/>
  <c r="I53" i="6"/>
  <c r="G53" i="6"/>
  <c r="F53" i="6"/>
  <c r="J52" i="6"/>
  <c r="G52" i="6" s="1"/>
  <c r="I52" i="6"/>
  <c r="F52" i="6" s="1"/>
  <c r="J51" i="6"/>
  <c r="I51" i="6"/>
  <c r="G51" i="6"/>
  <c r="F51" i="6"/>
  <c r="J50" i="6"/>
  <c r="G50" i="6" s="1"/>
  <c r="I50" i="6"/>
  <c r="F50" i="6" s="1"/>
  <c r="J49" i="6"/>
  <c r="I49" i="6"/>
  <c r="G49" i="6"/>
  <c r="F49" i="6"/>
  <c r="J48" i="6"/>
  <c r="G48" i="6" s="1"/>
  <c r="I48" i="6"/>
  <c r="F48" i="6" s="1"/>
  <c r="J47" i="6"/>
  <c r="I47" i="6"/>
  <c r="G47" i="6"/>
  <c r="F47" i="6"/>
  <c r="J46" i="6"/>
  <c r="G46" i="6" s="1"/>
  <c r="I46" i="6"/>
  <c r="F46" i="6" s="1"/>
  <c r="J45" i="6"/>
  <c r="I45" i="6"/>
  <c r="G45" i="6"/>
  <c r="F45" i="6"/>
  <c r="J44" i="6"/>
  <c r="G44" i="6" s="1"/>
  <c r="I44" i="6"/>
  <c r="F44" i="6" s="1"/>
  <c r="J43" i="6"/>
  <c r="I43" i="6"/>
  <c r="G43" i="6"/>
  <c r="F43" i="6"/>
  <c r="J42" i="6"/>
  <c r="G42" i="6" s="1"/>
  <c r="I42" i="6"/>
  <c r="F42" i="6" s="1"/>
  <c r="J41" i="6"/>
  <c r="I41" i="6"/>
  <c r="G41" i="6"/>
  <c r="F41" i="6"/>
  <c r="J40" i="6"/>
  <c r="G40" i="6" s="1"/>
  <c r="I40" i="6"/>
  <c r="F40" i="6" s="1"/>
  <c r="J39" i="6"/>
  <c r="I39" i="6"/>
  <c r="G39" i="6"/>
  <c r="F39" i="6"/>
  <c r="J38" i="6"/>
  <c r="G38" i="6" s="1"/>
  <c r="I38" i="6"/>
  <c r="F38" i="6" s="1"/>
  <c r="J37" i="6"/>
  <c r="I37" i="6"/>
  <c r="G37" i="6"/>
  <c r="F37" i="6"/>
  <c r="J36" i="6"/>
  <c r="G36" i="6" s="1"/>
  <c r="I36" i="6"/>
  <c r="F36" i="6" s="1"/>
  <c r="J35" i="6"/>
  <c r="I35" i="6"/>
  <c r="G35" i="6"/>
  <c r="F35" i="6"/>
  <c r="J34" i="6"/>
  <c r="G34" i="6" s="1"/>
  <c r="I34" i="6"/>
  <c r="F34" i="6" s="1"/>
  <c r="J33" i="6"/>
  <c r="I33" i="6"/>
  <c r="G33" i="6"/>
  <c r="F33" i="6"/>
  <c r="J32" i="6"/>
  <c r="G32" i="6" s="1"/>
  <c r="I32" i="6"/>
  <c r="F32" i="6" s="1"/>
  <c r="J31" i="6"/>
  <c r="I31" i="6"/>
  <c r="G31" i="6"/>
  <c r="F31" i="6"/>
  <c r="J30" i="6"/>
  <c r="G30" i="6" s="1"/>
  <c r="I30" i="6"/>
  <c r="F30" i="6" s="1"/>
  <c r="J29" i="6"/>
  <c r="I29" i="6"/>
  <c r="G29" i="6"/>
  <c r="F29" i="6"/>
  <c r="J28" i="6"/>
  <c r="G28" i="6" s="1"/>
  <c r="I28" i="6"/>
  <c r="F28" i="6" s="1"/>
  <c r="J27" i="6"/>
  <c r="I27" i="6"/>
  <c r="G27" i="6"/>
  <c r="F27" i="6"/>
  <c r="J26" i="6"/>
  <c r="G26" i="6" s="1"/>
  <c r="I26" i="6"/>
  <c r="F26" i="6" s="1"/>
  <c r="J25" i="6"/>
  <c r="I25" i="6"/>
  <c r="G25" i="6"/>
  <c r="F25" i="6"/>
  <c r="J24" i="6"/>
  <c r="G24" i="6" s="1"/>
  <c r="I24" i="6"/>
  <c r="F24" i="6" s="1"/>
  <c r="J23" i="6"/>
  <c r="I23" i="6"/>
  <c r="G23" i="6"/>
  <c r="F23" i="6"/>
  <c r="J22" i="6"/>
  <c r="G22" i="6" s="1"/>
  <c r="I22" i="6"/>
  <c r="F22" i="6" s="1"/>
  <c r="J21" i="6"/>
  <c r="I21" i="6"/>
  <c r="G21" i="6"/>
  <c r="F21" i="6"/>
  <c r="J20" i="6"/>
  <c r="G20" i="6" s="1"/>
  <c r="I20" i="6"/>
  <c r="F20" i="6" s="1"/>
  <c r="J19" i="6"/>
  <c r="I19" i="6"/>
  <c r="G19" i="6"/>
  <c r="F19" i="6"/>
  <c r="J18" i="6"/>
  <c r="G18" i="6" s="1"/>
  <c r="I18" i="6"/>
  <c r="F18" i="6" s="1"/>
  <c r="J17" i="6"/>
  <c r="I17" i="6"/>
  <c r="G17" i="6"/>
  <c r="F17" i="6"/>
  <c r="J16" i="6"/>
  <c r="G16" i="6" s="1"/>
  <c r="I16" i="6"/>
  <c r="F16" i="6" s="1"/>
  <c r="J15" i="6"/>
  <c r="I15" i="6"/>
  <c r="F15" i="6" s="1"/>
  <c r="G15" i="6"/>
  <c r="J14" i="6"/>
  <c r="G14" i="6" s="1"/>
  <c r="I14" i="6"/>
  <c r="F14" i="6" s="1"/>
  <c r="J13" i="6"/>
  <c r="I13" i="6"/>
  <c r="G13" i="6"/>
  <c r="F13" i="6"/>
  <c r="J12" i="6"/>
  <c r="G12" i="6" s="1"/>
  <c r="I12" i="6"/>
  <c r="F12" i="6" s="1"/>
  <c r="J11" i="6"/>
  <c r="I11" i="6"/>
  <c r="G11" i="6"/>
  <c r="F11" i="6"/>
  <c r="J10" i="6"/>
  <c r="G10" i="6" s="1"/>
  <c r="I10" i="6"/>
  <c r="F10" i="6" s="1"/>
  <c r="J9" i="6"/>
  <c r="I9" i="6"/>
  <c r="G9" i="6"/>
  <c r="F9" i="6"/>
  <c r="J8" i="6"/>
  <c r="G8" i="6" s="1"/>
  <c r="I8" i="6"/>
  <c r="F8" i="6" s="1"/>
  <c r="J7" i="6"/>
  <c r="I7" i="6"/>
  <c r="G7" i="6"/>
  <c r="F7" i="6"/>
  <c r="J6" i="6"/>
  <c r="G6" i="6" s="1"/>
  <c r="I6" i="6"/>
  <c r="F6" i="6" s="1"/>
  <c r="J5" i="6"/>
  <c r="I5" i="6"/>
  <c r="G5" i="6"/>
  <c r="F5" i="6"/>
  <c r="B9" i="5"/>
  <c r="B11" i="5"/>
  <c r="B8" i="5"/>
  <c r="B7" i="5"/>
  <c r="B6" i="5"/>
  <c r="J78" i="4"/>
  <c r="I78" i="4"/>
  <c r="G78" i="4"/>
  <c r="F78" i="4"/>
  <c r="J77" i="4"/>
  <c r="G77" i="4" s="1"/>
  <c r="I77" i="4"/>
  <c r="F77" i="4" s="1"/>
  <c r="J76" i="4"/>
  <c r="I76" i="4"/>
  <c r="G76" i="4"/>
  <c r="F76" i="4"/>
  <c r="J75" i="4"/>
  <c r="G75" i="4" s="1"/>
  <c r="I75" i="4"/>
  <c r="F75" i="4" s="1"/>
  <c r="J74" i="4"/>
  <c r="I74" i="4"/>
  <c r="G74" i="4"/>
  <c r="F74" i="4"/>
  <c r="J73" i="4"/>
  <c r="G73" i="4" s="1"/>
  <c r="I73" i="4"/>
  <c r="F73" i="4" s="1"/>
  <c r="J72" i="4"/>
  <c r="G72" i="4" s="1"/>
  <c r="I72" i="4"/>
  <c r="F72" i="4"/>
  <c r="J71" i="4"/>
  <c r="G71" i="4" s="1"/>
  <c r="I71" i="4"/>
  <c r="F71" i="4" s="1"/>
  <c r="J70" i="4"/>
  <c r="I70" i="4"/>
  <c r="G70" i="4"/>
  <c r="F70" i="4"/>
  <c r="J69" i="4"/>
  <c r="G69" i="4" s="1"/>
  <c r="I69" i="4"/>
  <c r="F69" i="4" s="1"/>
  <c r="J68" i="4"/>
  <c r="I68" i="4"/>
  <c r="G68" i="4"/>
  <c r="F68" i="4"/>
  <c r="J67" i="4"/>
  <c r="G67" i="4" s="1"/>
  <c r="I67" i="4"/>
  <c r="F67" i="4" s="1"/>
  <c r="J66" i="4"/>
  <c r="I66" i="4"/>
  <c r="G66" i="4"/>
  <c r="F66" i="4"/>
  <c r="J65" i="4"/>
  <c r="G65" i="4" s="1"/>
  <c r="I65" i="4"/>
  <c r="F65" i="4" s="1"/>
  <c r="J64" i="4"/>
  <c r="I64" i="4"/>
  <c r="G64" i="4"/>
  <c r="F64" i="4"/>
  <c r="J63" i="4"/>
  <c r="G63" i="4" s="1"/>
  <c r="I63" i="4"/>
  <c r="F63" i="4" s="1"/>
  <c r="J62" i="4"/>
  <c r="I62" i="4"/>
  <c r="G62" i="4"/>
  <c r="F62" i="4"/>
  <c r="J61" i="4"/>
  <c r="G61" i="4" s="1"/>
  <c r="I61" i="4"/>
  <c r="F61" i="4" s="1"/>
  <c r="J60" i="4"/>
  <c r="I60" i="4"/>
  <c r="G60" i="4"/>
  <c r="F60" i="4"/>
  <c r="J59" i="4"/>
  <c r="G59" i="4" s="1"/>
  <c r="I59" i="4"/>
  <c r="F59" i="4" s="1"/>
  <c r="J58" i="4"/>
  <c r="I58" i="4"/>
  <c r="G58" i="4"/>
  <c r="F58" i="4"/>
  <c r="J57" i="4"/>
  <c r="G57" i="4" s="1"/>
  <c r="I57" i="4"/>
  <c r="F57" i="4" s="1"/>
  <c r="J56" i="4"/>
  <c r="I56" i="4"/>
  <c r="G56" i="4"/>
  <c r="F56" i="4"/>
  <c r="J55" i="4"/>
  <c r="G55" i="4" s="1"/>
  <c r="I55" i="4"/>
  <c r="F55" i="4" s="1"/>
  <c r="J54" i="4"/>
  <c r="I54" i="4"/>
  <c r="G54" i="4"/>
  <c r="F54" i="4"/>
  <c r="J53" i="4"/>
  <c r="G53" i="4" s="1"/>
  <c r="I53" i="4"/>
  <c r="F53" i="4" s="1"/>
  <c r="J52" i="4"/>
  <c r="I52" i="4"/>
  <c r="G52" i="4"/>
  <c r="F52" i="4"/>
  <c r="J51" i="4"/>
  <c r="G51" i="4" s="1"/>
  <c r="I51" i="4"/>
  <c r="F51" i="4" s="1"/>
  <c r="J50" i="4"/>
  <c r="I50" i="4"/>
  <c r="G50" i="4"/>
  <c r="F50" i="4"/>
  <c r="J49" i="4"/>
  <c r="G49" i="4" s="1"/>
  <c r="I49" i="4"/>
  <c r="F49" i="4" s="1"/>
  <c r="J48" i="4"/>
  <c r="I48" i="4"/>
  <c r="G48" i="4"/>
  <c r="F48" i="4"/>
  <c r="J47" i="4"/>
  <c r="G47" i="4" s="1"/>
  <c r="I47" i="4"/>
  <c r="F47" i="4" s="1"/>
  <c r="J46" i="4"/>
  <c r="I46" i="4"/>
  <c r="G46" i="4"/>
  <c r="F46" i="4"/>
  <c r="J45" i="4"/>
  <c r="G45" i="4" s="1"/>
  <c r="I45" i="4"/>
  <c r="F45" i="4" s="1"/>
  <c r="J44" i="4"/>
  <c r="I44" i="4"/>
  <c r="G44" i="4"/>
  <c r="F44" i="4"/>
  <c r="J43" i="4"/>
  <c r="G43" i="4" s="1"/>
  <c r="I43" i="4"/>
  <c r="F43" i="4" s="1"/>
  <c r="J42" i="4"/>
  <c r="I42" i="4"/>
  <c r="G42" i="4"/>
  <c r="F42" i="4"/>
  <c r="J41" i="4"/>
  <c r="G41" i="4" s="1"/>
  <c r="I41" i="4"/>
  <c r="F41" i="4" s="1"/>
  <c r="J40" i="4"/>
  <c r="I40" i="4"/>
  <c r="G40" i="4"/>
  <c r="F40" i="4"/>
  <c r="J39" i="4"/>
  <c r="G39" i="4" s="1"/>
  <c r="I39" i="4"/>
  <c r="F39" i="4" s="1"/>
  <c r="J38" i="4"/>
  <c r="I38" i="4"/>
  <c r="G38" i="4"/>
  <c r="F38" i="4"/>
  <c r="J37" i="4"/>
  <c r="G37" i="4" s="1"/>
  <c r="I37" i="4"/>
  <c r="F37" i="4" s="1"/>
  <c r="J36" i="4"/>
  <c r="I36" i="4"/>
  <c r="G36" i="4"/>
  <c r="F36" i="4"/>
  <c r="J35" i="4"/>
  <c r="G35" i="4" s="1"/>
  <c r="I35" i="4"/>
  <c r="F35" i="4" s="1"/>
  <c r="J34" i="4"/>
  <c r="I34" i="4"/>
  <c r="G34" i="4"/>
  <c r="F34" i="4"/>
  <c r="J33" i="4"/>
  <c r="G33" i="4" s="1"/>
  <c r="I33" i="4"/>
  <c r="F33" i="4" s="1"/>
  <c r="J32" i="4"/>
  <c r="I32" i="4"/>
  <c r="G32" i="4"/>
  <c r="F32" i="4"/>
  <c r="J31" i="4"/>
  <c r="G31" i="4" s="1"/>
  <c r="I31" i="4"/>
  <c r="F31" i="4" s="1"/>
  <c r="J30" i="4"/>
  <c r="I30" i="4"/>
  <c r="G30" i="4"/>
  <c r="F30" i="4"/>
  <c r="J29" i="4"/>
  <c r="G29" i="4" s="1"/>
  <c r="I29" i="4"/>
  <c r="F29" i="4" s="1"/>
  <c r="J28" i="4"/>
  <c r="I28" i="4"/>
  <c r="G28" i="4"/>
  <c r="F28" i="4"/>
  <c r="J27" i="4"/>
  <c r="G27" i="4" s="1"/>
  <c r="I27" i="4"/>
  <c r="F27" i="4" s="1"/>
  <c r="J26" i="4"/>
  <c r="I26" i="4"/>
  <c r="G26" i="4"/>
  <c r="F26" i="4"/>
  <c r="J25" i="4"/>
  <c r="G25" i="4" s="1"/>
  <c r="I25" i="4"/>
  <c r="F25" i="4" s="1"/>
  <c r="J24" i="4"/>
  <c r="I24" i="4"/>
  <c r="G24" i="4"/>
  <c r="F24" i="4"/>
  <c r="J23" i="4"/>
  <c r="G23" i="4" s="1"/>
  <c r="I23" i="4"/>
  <c r="F23" i="4" s="1"/>
  <c r="J22" i="4"/>
  <c r="I22" i="4"/>
  <c r="G22" i="4"/>
  <c r="F22" i="4"/>
  <c r="J21" i="4"/>
  <c r="G21" i="4" s="1"/>
  <c r="I21" i="4"/>
  <c r="F21" i="4" s="1"/>
  <c r="J20" i="4"/>
  <c r="I20" i="4"/>
  <c r="G20" i="4"/>
  <c r="F20" i="4"/>
  <c r="J19" i="4"/>
  <c r="G19" i="4" s="1"/>
  <c r="I19" i="4"/>
  <c r="F19" i="4" s="1"/>
  <c r="J18" i="4"/>
  <c r="I18" i="4"/>
  <c r="G18" i="4"/>
  <c r="F18" i="4"/>
  <c r="J17" i="4"/>
  <c r="G17" i="4" s="1"/>
  <c r="I17" i="4"/>
  <c r="F17" i="4" s="1"/>
  <c r="J16" i="4"/>
  <c r="I16" i="4"/>
  <c r="G16" i="4"/>
  <c r="F16" i="4"/>
  <c r="J15" i="4"/>
  <c r="G15" i="4" s="1"/>
  <c r="I15" i="4"/>
  <c r="F15" i="4" s="1"/>
  <c r="J14" i="4"/>
  <c r="I14" i="4"/>
  <c r="G14" i="4"/>
  <c r="F14" i="4"/>
  <c r="J13" i="4"/>
  <c r="G13" i="4" s="1"/>
  <c r="I13" i="4"/>
  <c r="F13" i="4" s="1"/>
  <c r="J12" i="4"/>
  <c r="I12" i="4"/>
  <c r="G12" i="4"/>
  <c r="F12" i="4"/>
  <c r="J11" i="4"/>
  <c r="G11" i="4" s="1"/>
  <c r="I11" i="4"/>
  <c r="F11" i="4" s="1"/>
  <c r="J10" i="4"/>
  <c r="I10" i="4"/>
  <c r="G10" i="4"/>
  <c r="F10" i="4"/>
  <c r="J9" i="4"/>
  <c r="G9" i="4" s="1"/>
  <c r="I9" i="4"/>
  <c r="F9" i="4" s="1"/>
  <c r="J8" i="4"/>
  <c r="I8" i="4"/>
  <c r="G8" i="4"/>
  <c r="F8" i="4"/>
  <c r="J7" i="4"/>
  <c r="G7" i="4" s="1"/>
  <c r="I7" i="4"/>
  <c r="F7" i="4" s="1"/>
  <c r="J6" i="4"/>
  <c r="I6" i="4"/>
  <c r="G6" i="4"/>
  <c r="F6" i="4"/>
  <c r="J5" i="4"/>
  <c r="G5" i="4" s="1"/>
  <c r="I5" i="4"/>
  <c r="F5" i="4" s="1"/>
  <c r="H46" i="3"/>
  <c r="E46" i="3" s="1"/>
  <c r="I46" i="3"/>
  <c r="F46" i="3" s="1"/>
  <c r="H47" i="3"/>
  <c r="E47" i="3" s="1"/>
  <c r="I47" i="3"/>
  <c r="F47" i="3" s="1"/>
  <c r="H48" i="3"/>
  <c r="E48" i="3" s="1"/>
  <c r="I48" i="3"/>
  <c r="F48" i="3" s="1"/>
  <c r="H49" i="3"/>
  <c r="E49" i="3" s="1"/>
  <c r="I49" i="3"/>
  <c r="F49" i="3" s="1"/>
  <c r="H50" i="3"/>
  <c r="E50" i="3" s="1"/>
  <c r="I50" i="3"/>
  <c r="F50" i="3" s="1"/>
  <c r="H51" i="3"/>
  <c r="E51" i="3" s="1"/>
  <c r="I51" i="3"/>
  <c r="F51" i="3" s="1"/>
  <c r="H52" i="3"/>
  <c r="E52" i="3" s="1"/>
  <c r="I52" i="3"/>
  <c r="F52" i="3" s="1"/>
  <c r="H53" i="3"/>
  <c r="E53" i="3" s="1"/>
  <c r="I53" i="3"/>
  <c r="F53" i="3" s="1"/>
  <c r="H54" i="3"/>
  <c r="E54" i="3" s="1"/>
  <c r="I54" i="3"/>
  <c r="F54" i="3" s="1"/>
  <c r="H45" i="3"/>
  <c r="E45" i="3" s="1"/>
  <c r="H56" i="3"/>
  <c r="E56" i="3" s="1"/>
  <c r="H57" i="3"/>
  <c r="E57" i="3" s="1"/>
  <c r="H58" i="3"/>
  <c r="E58" i="3" s="1"/>
  <c r="H59" i="3"/>
  <c r="E59" i="3" s="1"/>
  <c r="H60" i="3"/>
  <c r="E60" i="3" s="1"/>
  <c r="H55" i="3"/>
  <c r="E55" i="3" s="1"/>
  <c r="H61" i="3"/>
  <c r="E61" i="3" s="1"/>
  <c r="H62" i="3"/>
  <c r="E62" i="3" s="1"/>
  <c r="H63" i="3"/>
  <c r="E63" i="3" s="1"/>
  <c r="H64" i="3"/>
  <c r="E64" i="3" s="1"/>
  <c r="H65" i="3"/>
  <c r="E65" i="3" s="1"/>
  <c r="H66" i="3"/>
  <c r="E66" i="3" s="1"/>
  <c r="H67" i="3"/>
  <c r="E67" i="3" s="1"/>
  <c r="H68" i="3"/>
  <c r="E68" i="3" s="1"/>
  <c r="H69" i="3"/>
  <c r="E69" i="3" s="1"/>
  <c r="H70" i="3"/>
  <c r="E70" i="3" s="1"/>
  <c r="H71" i="3"/>
  <c r="E71" i="3" s="1"/>
  <c r="H72" i="3"/>
  <c r="E72" i="3" s="1"/>
  <c r="H73" i="3"/>
  <c r="E73" i="3" s="1"/>
  <c r="H74" i="3"/>
  <c r="E74" i="3" s="1"/>
  <c r="H75" i="3"/>
  <c r="E75" i="3" s="1"/>
  <c r="H76" i="3"/>
  <c r="E76" i="3" s="1"/>
  <c r="H77" i="3"/>
  <c r="E77" i="3" s="1"/>
  <c r="H78" i="3"/>
  <c r="E78" i="3" s="1"/>
  <c r="I61" i="3"/>
  <c r="F61" i="3" s="1"/>
  <c r="I62" i="3"/>
  <c r="F62" i="3" s="1"/>
  <c r="I63" i="3"/>
  <c r="F63" i="3" s="1"/>
  <c r="I64" i="3"/>
  <c r="F64" i="3" s="1"/>
  <c r="I65" i="3"/>
  <c r="F65" i="3" s="1"/>
  <c r="I66" i="3"/>
  <c r="F66" i="3" s="1"/>
  <c r="I67" i="3"/>
  <c r="F67" i="3" s="1"/>
  <c r="I68" i="3"/>
  <c r="F68" i="3" s="1"/>
  <c r="I69" i="3"/>
  <c r="F69" i="3" s="1"/>
  <c r="I70" i="3"/>
  <c r="F70" i="3" s="1"/>
  <c r="I71" i="3"/>
  <c r="F71" i="3" s="1"/>
  <c r="I72" i="3"/>
  <c r="F72" i="3" s="1"/>
  <c r="I73" i="3"/>
  <c r="F73" i="3" s="1"/>
  <c r="I74" i="3"/>
  <c r="F74" i="3" s="1"/>
  <c r="H6" i="3"/>
  <c r="E6" i="3" s="1"/>
  <c r="H7" i="3"/>
  <c r="E7" i="3" s="1"/>
  <c r="H8" i="3"/>
  <c r="E8" i="3" s="1"/>
  <c r="H9" i="3"/>
  <c r="E9" i="3" s="1"/>
  <c r="H10" i="3"/>
  <c r="E10" i="3" s="1"/>
  <c r="H11" i="3"/>
  <c r="E11" i="3" s="1"/>
  <c r="H12" i="3"/>
  <c r="E12" i="3" s="1"/>
  <c r="H13" i="3"/>
  <c r="E13" i="3" s="1"/>
  <c r="H14" i="3"/>
  <c r="E14" i="3" s="1"/>
  <c r="H15" i="3"/>
  <c r="E15" i="3" s="1"/>
  <c r="H16" i="3"/>
  <c r="E16" i="3" s="1"/>
  <c r="H17" i="3"/>
  <c r="E17" i="3" s="1"/>
  <c r="H18" i="3"/>
  <c r="E18" i="3" s="1"/>
  <c r="H19" i="3"/>
  <c r="E19" i="3" s="1"/>
  <c r="H20" i="3"/>
  <c r="E20" i="3" s="1"/>
  <c r="H21" i="3"/>
  <c r="E21" i="3" s="1"/>
  <c r="H22" i="3"/>
  <c r="E22" i="3" s="1"/>
  <c r="H23" i="3"/>
  <c r="E23" i="3" s="1"/>
  <c r="H5" i="3"/>
  <c r="E5" i="3" s="1"/>
  <c r="I6" i="3"/>
  <c r="F6" i="3" s="1"/>
  <c r="I7" i="3"/>
  <c r="F7" i="3" s="1"/>
  <c r="I8" i="3"/>
  <c r="F8" i="3" s="1"/>
  <c r="I9" i="3"/>
  <c r="F9" i="3" s="1"/>
  <c r="I10" i="3"/>
  <c r="F10" i="3" s="1"/>
  <c r="I11" i="3"/>
  <c r="F11" i="3" s="1"/>
  <c r="I12" i="3"/>
  <c r="F12" i="3" s="1"/>
  <c r="I13" i="3"/>
  <c r="F13" i="3" s="1"/>
  <c r="I14" i="3"/>
  <c r="F14" i="3" s="1"/>
  <c r="I15" i="3"/>
  <c r="F15" i="3" s="1"/>
  <c r="I16" i="3"/>
  <c r="F16" i="3" s="1"/>
  <c r="I17" i="3"/>
  <c r="F17" i="3" s="1"/>
  <c r="I18" i="3"/>
  <c r="F18" i="3" s="1"/>
  <c r="I19" i="3"/>
  <c r="F19" i="3" s="1"/>
  <c r="I20" i="3"/>
  <c r="F20" i="3" s="1"/>
  <c r="I21" i="3"/>
  <c r="F21" i="3" s="1"/>
  <c r="I22" i="3"/>
  <c r="F22" i="3" s="1"/>
  <c r="I23" i="3"/>
  <c r="F23" i="3" s="1"/>
  <c r="I5" i="3"/>
  <c r="F5" i="3" s="1"/>
  <c r="I44" i="3"/>
  <c r="F44" i="3" s="1"/>
  <c r="I45" i="3"/>
  <c r="F45" i="3" s="1"/>
  <c r="I56" i="3"/>
  <c r="F56" i="3" s="1"/>
  <c r="I57" i="3"/>
  <c r="F57" i="3" s="1"/>
  <c r="I58" i="3"/>
  <c r="F58" i="3" s="1"/>
  <c r="I59" i="3"/>
  <c r="F59" i="3" s="1"/>
  <c r="I55" i="3"/>
  <c r="F55" i="3" s="1"/>
  <c r="I76" i="3"/>
  <c r="F76" i="3" s="1"/>
  <c r="I77" i="3"/>
  <c r="F77" i="3" s="1"/>
  <c r="I78" i="3"/>
  <c r="F78" i="3" s="1"/>
  <c r="I75" i="3"/>
  <c r="F75" i="3" s="1"/>
  <c r="I60" i="3"/>
  <c r="F60" i="3" s="1"/>
  <c r="H44" i="3"/>
  <c r="E44" i="3" s="1"/>
  <c r="H24" i="3"/>
  <c r="E24" i="3" s="1"/>
  <c r="I24" i="3"/>
  <c r="F24" i="3" s="1"/>
  <c r="H25" i="3"/>
  <c r="E25" i="3" s="1"/>
  <c r="I25" i="3"/>
  <c r="F25" i="3" s="1"/>
  <c r="H26" i="3"/>
  <c r="E26" i="3" s="1"/>
  <c r="I26" i="3"/>
  <c r="F26" i="3" s="1"/>
  <c r="H27" i="3"/>
  <c r="E27" i="3" s="1"/>
  <c r="I27" i="3"/>
  <c r="F27" i="3" s="1"/>
  <c r="H28" i="3"/>
  <c r="E28" i="3" s="1"/>
  <c r="I28" i="3"/>
  <c r="F28" i="3" s="1"/>
  <c r="H30" i="3"/>
  <c r="E30" i="3" s="1"/>
  <c r="I30" i="3"/>
  <c r="F30" i="3" s="1"/>
  <c r="H31" i="3"/>
  <c r="E31" i="3" s="1"/>
  <c r="I31" i="3"/>
  <c r="F31" i="3" s="1"/>
  <c r="H32" i="3"/>
  <c r="E32" i="3" s="1"/>
  <c r="I32" i="3"/>
  <c r="F32" i="3" s="1"/>
  <c r="H33" i="3"/>
  <c r="E33" i="3" s="1"/>
  <c r="I33" i="3"/>
  <c r="F33" i="3" s="1"/>
  <c r="H34" i="3"/>
  <c r="E34" i="3" s="1"/>
  <c r="I34" i="3"/>
  <c r="F34" i="3" s="1"/>
  <c r="H35" i="3"/>
  <c r="E35" i="3" s="1"/>
  <c r="I35" i="3"/>
  <c r="F35" i="3" s="1"/>
  <c r="H36" i="3"/>
  <c r="E36" i="3" s="1"/>
  <c r="I36" i="3"/>
  <c r="F36" i="3" s="1"/>
  <c r="H37" i="3"/>
  <c r="E37" i="3" s="1"/>
  <c r="I37" i="3"/>
  <c r="F37" i="3" s="1"/>
  <c r="H38" i="3"/>
  <c r="E38" i="3" s="1"/>
  <c r="I38" i="3"/>
  <c r="F38" i="3" s="1"/>
  <c r="H39" i="3"/>
  <c r="E39" i="3" s="1"/>
  <c r="I39" i="3"/>
  <c r="F39" i="3" s="1"/>
  <c r="H40" i="3"/>
  <c r="E40" i="3" s="1"/>
  <c r="I40" i="3"/>
  <c r="F40" i="3" s="1"/>
  <c r="H41" i="3"/>
  <c r="E41" i="3" s="1"/>
  <c r="I41" i="3"/>
  <c r="F41" i="3" s="1"/>
  <c r="H42" i="3"/>
  <c r="E42" i="3" s="1"/>
  <c r="I42" i="3"/>
  <c r="F42" i="3" s="1"/>
  <c r="H43" i="3"/>
  <c r="E43" i="3" s="1"/>
  <c r="I43" i="3"/>
  <c r="F43" i="3" s="1"/>
  <c r="I29" i="3"/>
  <c r="F29" i="3" s="1"/>
  <c r="H29" i="3"/>
  <c r="E29" i="3" s="1"/>
  <c r="I25" i="1" l="1"/>
  <c r="H25" i="1"/>
  <c r="G25" i="1"/>
  <c r="H24" i="1"/>
  <c r="G24" i="1"/>
  <c r="I24" i="1" s="1"/>
  <c r="H23" i="1"/>
  <c r="G23" i="1"/>
  <c r="I23" i="1" s="1"/>
  <c r="H22" i="1"/>
  <c r="G22" i="1"/>
  <c r="I22" i="1" s="1"/>
  <c r="H21" i="1"/>
  <c r="G21" i="1"/>
  <c r="I21" i="1" s="1"/>
  <c r="H20" i="1"/>
  <c r="I20" i="1" s="1"/>
  <c r="G20" i="1"/>
  <c r="H19" i="1"/>
  <c r="G19" i="1"/>
  <c r="I19" i="1" s="1"/>
  <c r="H18" i="1"/>
  <c r="G18" i="1"/>
  <c r="I18" i="1" s="1"/>
  <c r="I17" i="1"/>
  <c r="H17" i="1"/>
  <c r="G17" i="1"/>
  <c r="H16" i="1"/>
  <c r="G16" i="1"/>
  <c r="I16" i="1" s="1"/>
  <c r="H15" i="1"/>
  <c r="G15" i="1"/>
  <c r="I15" i="1" s="1"/>
  <c r="I14" i="1"/>
  <c r="H14" i="1"/>
  <c r="G14" i="1"/>
  <c r="H13" i="1"/>
  <c r="G13" i="1"/>
  <c r="I13" i="1" s="1"/>
  <c r="H12" i="1"/>
  <c r="I12" i="1" s="1"/>
  <c r="G12" i="1"/>
  <c r="H11" i="1"/>
  <c r="G11" i="1"/>
  <c r="I11" i="1" s="1"/>
  <c r="H10" i="1"/>
  <c r="G10" i="1"/>
  <c r="I10" i="1" s="1"/>
  <c r="I9" i="1"/>
  <c r="H9" i="1"/>
  <c r="G9" i="1"/>
  <c r="H8" i="1"/>
  <c r="G8" i="1"/>
  <c r="I8" i="1" s="1"/>
  <c r="H7" i="1"/>
  <c r="G7" i="1"/>
  <c r="I7" i="1" s="1"/>
  <c r="I6" i="1"/>
  <c r="H6" i="1"/>
  <c r="G6" i="1"/>
  <c r="H5" i="1"/>
  <c r="G5" i="1"/>
  <c r="I5" i="1" s="1"/>
  <c r="H4" i="1"/>
  <c r="I4" i="1" s="1"/>
  <c r="G4" i="1"/>
  <c r="H3" i="1"/>
  <c r="G3" i="1"/>
  <c r="I3" i="1" s="1"/>
</calcChain>
</file>

<file path=xl/sharedStrings.xml><?xml version="1.0" encoding="utf-8"?>
<sst xmlns="http://schemas.openxmlformats.org/spreadsheetml/2006/main" count="829" uniqueCount="315">
  <si>
    <t>Description</t>
  </si>
  <si>
    <t>X (FEET)</t>
  </si>
  <si>
    <t>Y (FEET)</t>
  </si>
  <si>
    <t>NODE</t>
  </si>
  <si>
    <t>LINK</t>
  </si>
  <si>
    <t>DIAMETER(INCHES)</t>
  </si>
  <si>
    <t>DISTANCE (FEET)</t>
  </si>
  <si>
    <t>25-W3</t>
  </si>
  <si>
    <t>25W3</t>
  </si>
  <si>
    <t>Junction 25-W3 25-W5</t>
  </si>
  <si>
    <t>J1</t>
  </si>
  <si>
    <t>25W3-J1</t>
  </si>
  <si>
    <t>25-W5</t>
  </si>
  <si>
    <t>25W5</t>
  </si>
  <si>
    <t>25W5-J1</t>
  </si>
  <si>
    <t>Junction 25-W4 and mainline</t>
  </si>
  <si>
    <t>J2</t>
  </si>
  <si>
    <t>J1-J2</t>
  </si>
  <si>
    <t>25-W4</t>
  </si>
  <si>
    <t>25W4</t>
  </si>
  <si>
    <t>25W4-J2</t>
  </si>
  <si>
    <t>Junction 25-W2 and mainline</t>
  </si>
  <si>
    <t>J3</t>
  </si>
  <si>
    <t>J2-J3</t>
  </si>
  <si>
    <t>25-W2</t>
  </si>
  <si>
    <t>25W2</t>
  </si>
  <si>
    <t>25W2-J3</t>
  </si>
  <si>
    <t>Junction 25-W1 and mainline</t>
  </si>
  <si>
    <t>J4</t>
  </si>
  <si>
    <t>J3-J4</t>
  </si>
  <si>
    <t>25-W1</t>
  </si>
  <si>
    <t>25W1</t>
  </si>
  <si>
    <t>25W1-J4</t>
  </si>
  <si>
    <t>30-W1</t>
  </si>
  <si>
    <t>30W1</t>
  </si>
  <si>
    <t>25W1-30W1</t>
  </si>
  <si>
    <t>Junction 30-W2 and sideline</t>
  </si>
  <si>
    <t>J5</t>
  </si>
  <si>
    <t>30W1-J5</t>
  </si>
  <si>
    <t>30-W2</t>
  </si>
  <si>
    <t>30W2</t>
  </si>
  <si>
    <t>30W2-J5</t>
  </si>
  <si>
    <t>30-W3</t>
  </si>
  <si>
    <t>30W3</t>
  </si>
  <si>
    <t>30W3-J5</t>
  </si>
  <si>
    <t>Junction 30-W4 and sideline</t>
  </si>
  <si>
    <t>J6</t>
  </si>
  <si>
    <t>30W3-J6</t>
  </si>
  <si>
    <t>30-W4</t>
  </si>
  <si>
    <t>30W4</t>
  </si>
  <si>
    <t>30W4-J6</t>
  </si>
  <si>
    <t>30-W5</t>
  </si>
  <si>
    <t>30W5</t>
  </si>
  <si>
    <t>30W5-J6</t>
  </si>
  <si>
    <t>30-W6</t>
  </si>
  <si>
    <t>30W6</t>
  </si>
  <si>
    <t>30W6-30W5</t>
  </si>
  <si>
    <t>Junction 24-W1 and mainline</t>
  </si>
  <si>
    <t>J7</t>
  </si>
  <si>
    <t>J4-J7</t>
  </si>
  <si>
    <t>24-W1</t>
  </si>
  <si>
    <t>24W1</t>
  </si>
  <si>
    <t>24W1-J7</t>
  </si>
  <si>
    <t>Junction 24-W2 and mainline</t>
  </si>
  <si>
    <t>J8</t>
  </si>
  <si>
    <t>J7-J8</t>
  </si>
  <si>
    <t>24-W2</t>
  </si>
  <si>
    <t>24W2</t>
  </si>
  <si>
    <t>24W2-J8</t>
  </si>
  <si>
    <t>Junction 24-W3 and mainline</t>
  </si>
  <si>
    <t>J9</t>
  </si>
  <si>
    <t>J8-J9</t>
  </si>
  <si>
    <t>24-W3</t>
  </si>
  <si>
    <t>24W3</t>
  </si>
  <si>
    <t>24W3-J9</t>
  </si>
  <si>
    <t>Terminal Tank(s)</t>
  </si>
  <si>
    <t>TERMINAL</t>
  </si>
  <si>
    <t>J9-TERM</t>
  </si>
  <si>
    <t>Tank Near 24-W1</t>
  </si>
  <si>
    <t>Tank Near 25-W1</t>
  </si>
  <si>
    <t>Tank Near 30-W1</t>
  </si>
  <si>
    <t>Tank Near 30-W2</t>
  </si>
  <si>
    <t>Tank Near 25-W4</t>
  </si>
  <si>
    <t>Tank South of Tank 25-W4</t>
  </si>
  <si>
    <t>Tank Near 25-W5</t>
  </si>
  <si>
    <t>BeginNode</t>
  </si>
  <si>
    <t>EndNode</t>
  </si>
  <si>
    <t>Terminal Tank(s) to Elevated Storage at Pecos</t>
  </si>
  <si>
    <t xml:space="preserve">TERMINAL        </t>
  </si>
  <si>
    <t>7</t>
  </si>
  <si>
    <t>Imaginary Pipe – remove for production runs</t>
  </si>
  <si>
    <t>Terminal Tank(s) to Transmission Line</t>
  </si>
  <si>
    <t xml:space="preserve"> P020            </t>
  </si>
  <si>
    <t>Transmission Line to TSR in Pecos</t>
  </si>
  <si>
    <t xml:space="preserve"> P019            </t>
  </si>
  <si>
    <t xml:space="preserve"> P018            </t>
  </si>
  <si>
    <t xml:space="preserve"> P017            </t>
  </si>
  <si>
    <t xml:space="preserve"> P016            </t>
  </si>
  <si>
    <t xml:space="preserve"> P015            </t>
  </si>
  <si>
    <t xml:space="preserve"> P014            </t>
  </si>
  <si>
    <t xml:space="preserve"> P013            </t>
  </si>
  <si>
    <t xml:space="preserve"> P012            </t>
  </si>
  <si>
    <t xml:space="preserve"> P011            </t>
  </si>
  <si>
    <t xml:space="preserve"> P010            </t>
  </si>
  <si>
    <t xml:space="preserve"> P009            </t>
  </si>
  <si>
    <t xml:space="preserve"> P008            </t>
  </si>
  <si>
    <t xml:space="preserve"> P007            </t>
  </si>
  <si>
    <t xml:space="preserve"> P006            </t>
  </si>
  <si>
    <t xml:space="preserve"> P005            </t>
  </si>
  <si>
    <t xml:space="preserve"> P004            </t>
  </si>
  <si>
    <t xml:space="preserve"> P003            </t>
  </si>
  <si>
    <t xml:space="preserve"> P002            </t>
  </si>
  <si>
    <t xml:space="preserve"> P001            </t>
  </si>
  <si>
    <t>ID-LABEL</t>
  </si>
  <si>
    <t>Elevation</t>
  </si>
  <si>
    <t>Remarks</t>
  </si>
  <si>
    <t xml:space="preserve"> J8              </t>
  </si>
  <si>
    <t>Well Field</t>
  </si>
  <si>
    <t xml:space="preserve"> J9              </t>
  </si>
  <si>
    <t xml:space="preserve"> J7              </t>
  </si>
  <si>
    <t xml:space="preserve"> TERMINAL        </t>
  </si>
  <si>
    <t xml:space="preserve"> J4              </t>
  </si>
  <si>
    <t xml:space="preserve"> J3              </t>
  </si>
  <si>
    <t xml:space="preserve"> J2              </t>
  </si>
  <si>
    <t xml:space="preserve"> J1              </t>
  </si>
  <si>
    <t xml:space="preserve"> 25W3            </t>
  </si>
  <si>
    <t xml:space="preserve"> 25W4            </t>
  </si>
  <si>
    <t xml:space="preserve"> 25W5            </t>
  </si>
  <si>
    <t xml:space="preserve"> 25W1            </t>
  </si>
  <si>
    <t xml:space="preserve"> 25W2            </t>
  </si>
  <si>
    <t xml:space="preserve"> 30W1            </t>
  </si>
  <si>
    <t xml:space="preserve"> 30W3            </t>
  </si>
  <si>
    <t xml:space="preserve"> 30W5            </t>
  </si>
  <si>
    <t xml:space="preserve"> 30W4            </t>
  </si>
  <si>
    <t xml:space="preserve"> 30W6            </t>
  </si>
  <si>
    <t xml:space="preserve"> J6              </t>
  </si>
  <si>
    <t xml:space="preserve"> J5              </t>
  </si>
  <si>
    <t xml:space="preserve"> 24W2            </t>
  </si>
  <si>
    <t xml:space="preserve"> 24W3            </t>
  </si>
  <si>
    <t xml:space="preserve"> 30W2            </t>
  </si>
  <si>
    <t xml:space="preserve"> 24W1            </t>
  </si>
  <si>
    <t>Transmission Line</t>
  </si>
  <si>
    <t xml:space="preserve">Fixed Grade </t>
  </si>
  <si>
    <t xml:space="preserve">                </t>
  </si>
  <si>
    <t>GW Reservoir</t>
  </si>
  <si>
    <t>At Grade TSR in Pecos</t>
  </si>
  <si>
    <t xml:space="preserve">Elevated TSR in Pecos </t>
  </si>
  <si>
    <t>Network Table - Nodes at 0:00 Hrs</t>
  </si>
  <si>
    <t xml:space="preserve">                        </t>
  </si>
  <si>
    <t xml:space="preserve">Elevation       </t>
  </si>
  <si>
    <t xml:space="preserve">Pressure        </t>
  </si>
  <si>
    <t xml:space="preserve"> Node ID                </t>
  </si>
  <si>
    <t xml:space="preserve">ft              </t>
  </si>
  <si>
    <t xml:space="preserve">psi             </t>
  </si>
  <si>
    <t xml:space="preserve">Junc J8                 </t>
  </si>
  <si>
    <t xml:space="preserve">Junc J9                 </t>
  </si>
  <si>
    <t xml:space="preserve">Junc J7                 </t>
  </si>
  <si>
    <t xml:space="preserve">Junc TERMINAL           </t>
  </si>
  <si>
    <t xml:space="preserve">Junc J4                 </t>
  </si>
  <si>
    <t xml:space="preserve">Junc J3                 </t>
  </si>
  <si>
    <t xml:space="preserve">Junc J2                 </t>
  </si>
  <si>
    <t xml:space="preserve">Junc J1                 </t>
  </si>
  <si>
    <t xml:space="preserve">Junc 25W5FCV            </t>
  </si>
  <si>
    <t xml:space="preserve">Junc 25W1               </t>
  </si>
  <si>
    <t xml:space="preserve">Junc 25W2FCV            </t>
  </si>
  <si>
    <t xml:space="preserve">Junc 30W1               </t>
  </si>
  <si>
    <t xml:space="preserve">Junc 30W3               </t>
  </si>
  <si>
    <t xml:space="preserve">Junc 30W5               </t>
  </si>
  <si>
    <t xml:space="preserve">Junc 30W4               </t>
  </si>
  <si>
    <t xml:space="preserve">Junc 30W6               </t>
  </si>
  <si>
    <t xml:space="preserve">Junc J6                 </t>
  </si>
  <si>
    <t xml:space="preserve">Junc J5                 </t>
  </si>
  <si>
    <t xml:space="preserve">Junc 30W2               </t>
  </si>
  <si>
    <t xml:space="preserve">Junc JP20               </t>
  </si>
  <si>
    <t xml:space="preserve">Junc JP19               </t>
  </si>
  <si>
    <t xml:space="preserve">Junc JP18               </t>
  </si>
  <si>
    <t xml:space="preserve">Junc JP15               </t>
  </si>
  <si>
    <t xml:space="preserve">Junc JP14               </t>
  </si>
  <si>
    <t xml:space="preserve">Junc JP12               </t>
  </si>
  <si>
    <t xml:space="preserve">Junc JP11               </t>
  </si>
  <si>
    <t xml:space="preserve">Junc JP10               </t>
  </si>
  <si>
    <t xml:space="preserve">Junc JP9                </t>
  </si>
  <si>
    <t xml:space="preserve">Junc JP6                </t>
  </si>
  <si>
    <t xml:space="preserve">Junc JP4                </t>
  </si>
  <si>
    <t xml:space="preserve">Junc JP7                </t>
  </si>
  <si>
    <t xml:space="preserve">Junc JP3                </t>
  </si>
  <si>
    <t xml:space="preserve">Junc JP8                </t>
  </si>
  <si>
    <t xml:space="preserve">Junc JP1                </t>
  </si>
  <si>
    <t xml:space="preserve">Junc JP2                </t>
  </si>
  <si>
    <t xml:space="preserve">Junc JP5                </t>
  </si>
  <si>
    <t xml:space="preserve">Junc JP13               </t>
  </si>
  <si>
    <t xml:space="preserve">Junc JP16               </t>
  </si>
  <si>
    <t xml:space="preserve">Junc JP17               </t>
  </si>
  <si>
    <t xml:space="preserve">Junc 25W4FCV            </t>
  </si>
  <si>
    <t xml:space="preserve">Junc 25W3FCV            </t>
  </si>
  <si>
    <t xml:space="preserve">Junc 30W1FCV            </t>
  </si>
  <si>
    <t xml:space="preserve">Junc 25W1FCV            </t>
  </si>
  <si>
    <t xml:space="preserve">Junc 24W1FCV            </t>
  </si>
  <si>
    <t xml:space="preserve">Junc 24W2FCV            </t>
  </si>
  <si>
    <t xml:space="preserve">Junc 24W3FCV            </t>
  </si>
  <si>
    <t xml:space="preserve">Junc 30W6FCV            </t>
  </si>
  <si>
    <t xml:space="preserve">Junc 30W5FCV            </t>
  </si>
  <si>
    <t xml:space="preserve">Junc 30W4FCV            </t>
  </si>
  <si>
    <t xml:space="preserve">Junc 30W3FCV            </t>
  </si>
  <si>
    <t xml:space="preserve">Junc WDS                </t>
  </si>
  <si>
    <t xml:space="preserve">Junc BOOST_IN           </t>
  </si>
  <si>
    <t xml:space="preserve">Junc WDSFCV             </t>
  </si>
  <si>
    <t xml:space="preserve">Junc TSR_MANIFOLD       </t>
  </si>
  <si>
    <t xml:space="preserve">Junc BOOST_MANIFOLD     </t>
  </si>
  <si>
    <t xml:space="preserve">Junc JP0                </t>
  </si>
  <si>
    <t xml:space="preserve">Tank TSR_ONE            </t>
  </si>
  <si>
    <t xml:space="preserve">Tank SMALL_ISR          </t>
  </si>
  <si>
    <t xml:space="preserve">Tank BIG_ISR            </t>
  </si>
  <si>
    <t xml:space="preserve">Tank TSR_TWO            </t>
  </si>
  <si>
    <t>31.25874,-103.37241</t>
  </si>
  <si>
    <t>31.26616,-103.38155</t>
  </si>
  <si>
    <t>31.27691,-103.38167</t>
  </si>
  <si>
    <t>31.22982,-103.37275</t>
  </si>
  <si>
    <t>31.20499,-103.37287</t>
  </si>
  <si>
    <t>31.17947,-103.37287</t>
  </si>
  <si>
    <t>31.17615,-103.37515</t>
  </si>
  <si>
    <t>31.17498,-103.37321</t>
  </si>
  <si>
    <t>31.16099,-103.37332</t>
  </si>
  <si>
    <t>31.14437,-103.37367</t>
  </si>
  <si>
    <t>31.14124,-103.37367</t>
  </si>
  <si>
    <t>31.141303,-103.375235</t>
  </si>
  <si>
    <t>31.140878,-103.375600</t>
  </si>
  <si>
    <t>31.140679,-103.375833</t>
  </si>
  <si>
    <t>31.31636,-103.42441</t>
  </si>
  <si>
    <t>Lat(N)</t>
  </si>
  <si>
    <t>Lon(E)</t>
  </si>
  <si>
    <t>31.32163,-103.42740</t>
  </si>
  <si>
    <t>31.34894,-103.43765</t>
  </si>
  <si>
    <t>31.38387,-103.46831</t>
  </si>
  <si>
    <t>31.38481,-103.47349</t>
  </si>
  <si>
    <t>31.38509,-103.48242</t>
  </si>
  <si>
    <t>31.38669,-103.49036</t>
  </si>
  <si>
    <t>31.38396,-103.49074</t>
  </si>
  <si>
    <t>31.38660,-103.50486</t>
  </si>
  <si>
    <t>31.392415,-103.508212</t>
  </si>
  <si>
    <t>31.392650,-103.507661</t>
  </si>
  <si>
    <t>31.393299,-103.508289</t>
  </si>
  <si>
    <t>31.115907,-103.388827</t>
  </si>
  <si>
    <t>31.119034,-103.380702</t>
  </si>
  <si>
    <t>31.122416,-103.387933</t>
  </si>
  <si>
    <t>31.120055,-103.384876</t>
  </si>
  <si>
    <t>31.121140,-103.383535</t>
  </si>
  <si>
    <t>31.124649,-103.377198</t>
  </si>
  <si>
    <t>31.124139,-103.377571</t>
  </si>
  <si>
    <t>31.125479,-103.379435</t>
  </si>
  <si>
    <t>31.124585,-103.380329</t>
  </si>
  <si>
    <t>31.126755,-103.382640</t>
  </si>
  <si>
    <t>31.131285,-103.378093</t>
  </si>
  <si>
    <t>31.130966,-103.377124</t>
  </si>
  <si>
    <t>31.134986,-103.377198</t>
  </si>
  <si>
    <t>31.136326,-103.376751</t>
  </si>
  <si>
    <t>31.135816,-103.380851</t>
  </si>
  <si>
    <t>31.135433,-103.373919</t>
  </si>
  <si>
    <t>31.140601,-103.375857</t>
  </si>
  <si>
    <t>31.124011,-103.367881</t>
  </si>
  <si>
    <t>31.123373,-103.368104</t>
  </si>
  <si>
    <t>31.122863,-103.366017</t>
  </si>
  <si>
    <t>31.117247,-103.368104</t>
  </si>
  <si>
    <t>31.121522,-103.361768</t>
  </si>
  <si>
    <t>31.120310,-103.359532</t>
  </si>
  <si>
    <t>31.119544,-103.356699</t>
  </si>
  <si>
    <t xml:space="preserve">Resvr R30W3                </t>
  </si>
  <si>
    <t xml:space="preserve">Resvr R30W5              </t>
  </si>
  <si>
    <t>31.113737,-103.357445</t>
  </si>
  <si>
    <t xml:space="preserve">Resvr R30W6       </t>
  </si>
  <si>
    <t>31.126564,-103.356476</t>
  </si>
  <si>
    <t xml:space="preserve">Resvr R30W4             </t>
  </si>
  <si>
    <t xml:space="preserve">Resvr R30W1           </t>
  </si>
  <si>
    <t xml:space="preserve">Resvr R25W1            </t>
  </si>
  <si>
    <t xml:space="preserve">Resvr R24W1           </t>
  </si>
  <si>
    <t xml:space="preserve">Resvr R24W3          </t>
  </si>
  <si>
    <t xml:space="preserve">Resvr R24W2             </t>
  </si>
  <si>
    <t xml:space="preserve">Resvr R25W2            </t>
  </si>
  <si>
    <t xml:space="preserve">Resvr R25W5              </t>
  </si>
  <si>
    <t xml:space="preserve">Resvr R25W3               </t>
  </si>
  <si>
    <t xml:space="preserve">Resvr R25W4            </t>
  </si>
  <si>
    <t xml:space="preserve">Resvr R30W2           </t>
  </si>
  <si>
    <t>Coordinates (DD.DDD)</t>
  </si>
  <si>
    <t>Coordinates (DD.DDDDDD)</t>
  </si>
  <si>
    <t>Derived values from Google Earth and OSM on-line query</t>
  </si>
  <si>
    <t xml:space="preserve">Coordinates as a String </t>
  </si>
  <si>
    <t>from Open Street Maps</t>
  </si>
  <si>
    <t>EPANET Computed Values</t>
  </si>
  <si>
    <t>Network Table - Nodes at 12:00 Hrs</t>
  </si>
  <si>
    <t xml:space="preserve">Head            </t>
  </si>
  <si>
    <t xml:space="preserve">Resvr R25W3             </t>
  </si>
  <si>
    <t xml:space="preserve">Resvr R25W4             </t>
  </si>
  <si>
    <t xml:space="preserve">Resvr R25W5             </t>
  </si>
  <si>
    <t xml:space="preserve">Resvr R25W2             </t>
  </si>
  <si>
    <t xml:space="preserve">Resvr R30W2             </t>
  </si>
  <si>
    <t xml:space="preserve">Resvr R30W5             </t>
  </si>
  <si>
    <t xml:space="preserve">Resvr R30W6             </t>
  </si>
  <si>
    <t xml:space="preserve">Resvr R30W1             </t>
  </si>
  <si>
    <t xml:space="preserve">Resvr R25W1             </t>
  </si>
  <si>
    <t xml:space="preserve">Resvr R24W1             </t>
  </si>
  <si>
    <t xml:space="preserve">Resvr R24W3             </t>
  </si>
  <si>
    <t xml:space="preserve">Resvr R30W3             </t>
  </si>
  <si>
    <t>Velocity Head Calculator</t>
  </si>
  <si>
    <t>Velocity (ft/s)</t>
  </si>
  <si>
    <t>Diameter (inches)</t>
  </si>
  <si>
    <t>g</t>
  </si>
  <si>
    <t>D(ft)</t>
  </si>
  <si>
    <t>V^2</t>
  </si>
  <si>
    <t>2g</t>
  </si>
  <si>
    <t>Velocity Head (ft)</t>
  </si>
  <si>
    <t>Discharge (gpm)</t>
  </si>
  <si>
    <t xml:space="preserve">Junc JP16B              </t>
  </si>
  <si>
    <t xml:space="preserve">Junc TSR2_INP           </t>
  </si>
  <si>
    <t xml:space="preserve">Junc BSINP              </t>
  </si>
  <si>
    <t xml:space="preserve">Junc BSOUT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</si>
</sst>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6D6D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5" xfId="0" applyBorder="1" applyAlignme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0" xfId="0" applyFill="1"/>
    <xf numFmtId="0" fontId="0" fillId="0" borderId="0" xfId="0" applyAlignment="1">
      <alignment horizontal="right"/>
    </xf>
    <xf numFmtId="0" fontId="0" fillId="0" borderId="1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opLeftCell="A39" zoomScaleNormal="100" workbookViewId="0">
      <selection activeCell="A36" sqref="A36"/>
    </sheetView>
  </sheetViews>
  <sheetFormatPr defaultColWidth="8.5703125" defaultRowHeight="15" x14ac:dyDescent="0.25"/>
  <cols>
    <col min="1" max="1" width="28" customWidth="1"/>
    <col min="2" max="2" width="14" customWidth="1"/>
    <col min="3" max="3" width="11.28515625" customWidth="1"/>
    <col min="5" max="5" width="12" customWidth="1"/>
    <col min="6" max="6" width="9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t="s">
        <v>6</v>
      </c>
    </row>
    <row r="2" spans="1:9" x14ac:dyDescent="0.25">
      <c r="A2" t="s">
        <v>7</v>
      </c>
      <c r="B2">
        <v>3698.1900143399998</v>
      </c>
      <c r="C2">
        <v>1309.09090909</v>
      </c>
      <c r="D2" t="s">
        <v>8</v>
      </c>
    </row>
    <row r="3" spans="1:9" x14ac:dyDescent="0.25">
      <c r="A3" t="s">
        <v>9</v>
      </c>
      <c r="B3">
        <v>4975.6437401800003</v>
      </c>
      <c r="C3">
        <v>2737.1900826400001</v>
      </c>
      <c r="D3" t="s">
        <v>10</v>
      </c>
      <c r="E3" t="s">
        <v>11</v>
      </c>
      <c r="F3">
        <v>6</v>
      </c>
      <c r="G3">
        <f>(B3-B2)^2</f>
        <v>1631888.0216624993</v>
      </c>
      <c r="H3">
        <f>(C3-C2)^2</f>
        <v>2039467.2494941936</v>
      </c>
      <c r="I3">
        <f t="shared" ref="I3:I25" si="0">SQRT(G3+H3)</f>
        <v>1916.0780963094101</v>
      </c>
    </row>
    <row r="4" spans="1:9" x14ac:dyDescent="0.25">
      <c r="A4" t="s">
        <v>12</v>
      </c>
      <c r="B4">
        <v>4016.4469640100001</v>
      </c>
      <c r="C4">
        <v>3600</v>
      </c>
      <c r="D4" t="s">
        <v>13</v>
      </c>
      <c r="E4" t="s">
        <v>14</v>
      </c>
      <c r="F4">
        <v>6</v>
      </c>
      <c r="G4">
        <f>(B4-B3)^2</f>
        <v>920058.45541492151</v>
      </c>
      <c r="H4">
        <f>(C4-C3)^2</f>
        <v>744440.95349476975</v>
      </c>
      <c r="I4">
        <f t="shared" si="0"/>
        <v>1290.1548003668752</v>
      </c>
    </row>
    <row r="5" spans="1:9" x14ac:dyDescent="0.25">
      <c r="A5" t="s">
        <v>15</v>
      </c>
      <c r="B5">
        <v>5378.5670377699998</v>
      </c>
      <c r="C5">
        <v>3183.4710743800001</v>
      </c>
      <c r="D5" t="s">
        <v>16</v>
      </c>
      <c r="E5" t="s">
        <v>17</v>
      </c>
      <c r="F5">
        <v>6</v>
      </c>
      <c r="G5">
        <f>(B5-B3)^2</f>
        <v>162347.18374079929</v>
      </c>
      <c r="H5">
        <f>(C5-C3)^2</f>
        <v>199166.72358843795</v>
      </c>
      <c r="I5">
        <f t="shared" si="0"/>
        <v>601.26026588261857</v>
      </c>
    </row>
    <row r="6" spans="1:9" x14ac:dyDescent="0.25">
      <c r="A6" t="s">
        <v>18</v>
      </c>
      <c r="B6">
        <v>6217.5261252600003</v>
      </c>
      <c r="C6">
        <v>2469.4214876000001</v>
      </c>
      <c r="D6" t="s">
        <v>19</v>
      </c>
      <c r="E6" t="s">
        <v>20</v>
      </c>
      <c r="F6">
        <v>6</v>
      </c>
      <c r="G6">
        <f>(B6-B5)^2</f>
        <v>703852.35048205429</v>
      </c>
      <c r="H6">
        <f>(C6-C5)^2</f>
        <v>509866.81238068879</v>
      </c>
      <c r="I6">
        <f t="shared" si="0"/>
        <v>1101.6892315270868</v>
      </c>
    </row>
    <row r="7" spans="1:9" x14ac:dyDescent="0.25">
      <c r="A7" t="s">
        <v>21</v>
      </c>
      <c r="B7">
        <v>6449.8053411700002</v>
      </c>
      <c r="C7">
        <v>4363.6363636400001</v>
      </c>
      <c r="D7" t="s">
        <v>22</v>
      </c>
      <c r="E7" t="s">
        <v>23</v>
      </c>
      <c r="F7">
        <v>6</v>
      </c>
      <c r="G7">
        <f>(B7-B5)^2</f>
        <v>1147551.5026713114</v>
      </c>
      <c r="H7">
        <f>(C7-C5)^2</f>
        <v>1392790.1099741396</v>
      </c>
      <c r="I7">
        <f t="shared" si="0"/>
        <v>1593.8449148663904</v>
      </c>
    </row>
    <row r="8" spans="1:9" x14ac:dyDescent="0.25">
      <c r="A8" t="s">
        <v>24</v>
      </c>
      <c r="B8">
        <v>5640.3524349400004</v>
      </c>
      <c r="C8">
        <v>5107.4380165299999</v>
      </c>
      <c r="D8" t="s">
        <v>25</v>
      </c>
      <c r="E8" t="s">
        <v>26</v>
      </c>
      <c r="F8">
        <v>6</v>
      </c>
      <c r="G8">
        <f>(B8-B7)^2</f>
        <v>655214.00740419293</v>
      </c>
      <c r="H8">
        <f>(C8-C7)^2</f>
        <v>553240.89884189575</v>
      </c>
      <c r="I8">
        <f t="shared" si="0"/>
        <v>1099.2974603109428</v>
      </c>
    </row>
    <row r="9" spans="1:9" x14ac:dyDescent="0.25">
      <c r="A9" t="s">
        <v>27</v>
      </c>
      <c r="B9">
        <v>6685.6089064999996</v>
      </c>
      <c r="C9">
        <v>4631.4049586800002</v>
      </c>
      <c r="D9" t="s">
        <v>28</v>
      </c>
      <c r="E9" t="s">
        <v>29</v>
      </c>
      <c r="F9">
        <v>8</v>
      </c>
      <c r="G9">
        <f>(B9-B7)^2</f>
        <v>55603.321422339293</v>
      </c>
      <c r="H9">
        <f>(C9-C7)^2</f>
        <v>71700.020489695526</v>
      </c>
      <c r="I9">
        <f t="shared" si="0"/>
        <v>356.79593875496232</v>
      </c>
    </row>
    <row r="10" spans="1:9" x14ac:dyDescent="0.25">
      <c r="A10" t="s">
        <v>30</v>
      </c>
      <c r="B10">
        <v>7215.0809370899997</v>
      </c>
      <c r="C10">
        <v>4165.2892561999997</v>
      </c>
      <c r="D10" t="s">
        <v>31</v>
      </c>
      <c r="E10" t="s">
        <v>32</v>
      </c>
      <c r="F10">
        <v>10</v>
      </c>
      <c r="G10">
        <f t="shared" ref="G10:H13" si="1">(B10-B9)^2</f>
        <v>280340.63117709791</v>
      </c>
      <c r="H10">
        <f t="shared" si="1"/>
        <v>217263.84809842429</v>
      </c>
      <c r="I10">
        <f t="shared" si="0"/>
        <v>705.41085848994567</v>
      </c>
    </row>
    <row r="11" spans="1:9" x14ac:dyDescent="0.25">
      <c r="A11" t="s">
        <v>33</v>
      </c>
      <c r="B11">
        <v>10163.1582542</v>
      </c>
      <c r="C11">
        <v>3847.9338843</v>
      </c>
      <c r="D11" t="s">
        <v>34</v>
      </c>
      <c r="E11" t="s">
        <v>35</v>
      </c>
      <c r="F11">
        <v>8</v>
      </c>
      <c r="G11">
        <f t="shared" si="1"/>
        <v>8691159.8676584959</v>
      </c>
      <c r="H11">
        <f t="shared" si="1"/>
        <v>100714.4320737871</v>
      </c>
      <c r="I11">
        <f t="shared" si="0"/>
        <v>2965.1094920309911</v>
      </c>
    </row>
    <row r="12" spans="1:9" x14ac:dyDescent="0.25">
      <c r="A12" t="s">
        <v>36</v>
      </c>
      <c r="B12">
        <v>10819.7527491</v>
      </c>
      <c r="C12">
        <v>3600</v>
      </c>
      <c r="D12" t="s">
        <v>37</v>
      </c>
      <c r="E12" t="s">
        <v>38</v>
      </c>
      <c r="F12">
        <v>8</v>
      </c>
      <c r="G12">
        <f t="shared" si="1"/>
        <v>431116.33073298668</v>
      </c>
      <c r="H12">
        <f t="shared" si="1"/>
        <v>61471.21098408581</v>
      </c>
      <c r="I12">
        <f t="shared" si="0"/>
        <v>701.84581050047768</v>
      </c>
    </row>
    <row r="13" spans="1:9" x14ac:dyDescent="0.25">
      <c r="A13" t="s">
        <v>39</v>
      </c>
      <c r="B13">
        <v>10102.0148897</v>
      </c>
      <c r="C13">
        <v>1646.28099174</v>
      </c>
      <c r="D13" t="s">
        <v>40</v>
      </c>
      <c r="E13" t="s">
        <v>41</v>
      </c>
      <c r="F13">
        <v>6</v>
      </c>
      <c r="G13">
        <f t="shared" si="1"/>
        <v>515147.63481609442</v>
      </c>
      <c r="H13">
        <f t="shared" si="1"/>
        <v>3817017.9632364381</v>
      </c>
      <c r="I13">
        <f t="shared" si="0"/>
        <v>2081.3854996257978</v>
      </c>
    </row>
    <row r="14" spans="1:9" x14ac:dyDescent="0.25">
      <c r="A14" t="s">
        <v>42</v>
      </c>
      <c r="B14">
        <v>12092.8625094</v>
      </c>
      <c r="C14">
        <v>3153.71900826</v>
      </c>
      <c r="D14" t="s">
        <v>43</v>
      </c>
      <c r="E14" t="s">
        <v>44</v>
      </c>
      <c r="F14">
        <v>8</v>
      </c>
      <c r="G14">
        <f>(B14-B12)^2</f>
        <v>1620808.4617711231</v>
      </c>
      <c r="H14">
        <f>(C14-C12)^2</f>
        <v>199166.72358843795</v>
      </c>
      <c r="I14">
        <f t="shared" si="0"/>
        <v>1349.0645593742211</v>
      </c>
    </row>
    <row r="15" spans="1:9" x14ac:dyDescent="0.25">
      <c r="A15" t="s">
        <v>45</v>
      </c>
      <c r="B15">
        <v>12799.617512500001</v>
      </c>
      <c r="C15">
        <v>2836.3636363599999</v>
      </c>
      <c r="D15" t="s">
        <v>46</v>
      </c>
      <c r="E15" t="s">
        <v>47</v>
      </c>
      <c r="F15">
        <v>6</v>
      </c>
      <c r="G15">
        <f>(B15-B14)^2</f>
        <v>499502.6344068824</v>
      </c>
      <c r="H15">
        <f>(C15-C14)^2</f>
        <v>100714.43207378739</v>
      </c>
      <c r="I15">
        <f t="shared" si="0"/>
        <v>774.73677238186508</v>
      </c>
    </row>
    <row r="16" spans="1:9" x14ac:dyDescent="0.25">
      <c r="A16" t="s">
        <v>48</v>
      </c>
      <c r="B16">
        <v>13744.6349293</v>
      </c>
      <c r="C16">
        <v>4889.25619835</v>
      </c>
      <c r="D16" t="s">
        <v>49</v>
      </c>
      <c r="E16" t="s">
        <v>50</v>
      </c>
      <c r="F16">
        <v>6</v>
      </c>
      <c r="G16">
        <f>(B16-B15)^2</f>
        <v>893057.91805534379</v>
      </c>
      <c r="H16">
        <f>(C16-C15)^2</f>
        <v>4214367.8710738663</v>
      </c>
      <c r="I16">
        <f t="shared" si="0"/>
        <v>2259.9614574432921</v>
      </c>
    </row>
    <row r="17" spans="1:9" x14ac:dyDescent="0.25">
      <c r="A17" t="s">
        <v>51</v>
      </c>
      <c r="B17">
        <v>13655.8705006</v>
      </c>
      <c r="C17">
        <v>2429.7520661200001</v>
      </c>
      <c r="D17" t="s">
        <v>52</v>
      </c>
      <c r="E17" t="s">
        <v>53</v>
      </c>
      <c r="F17">
        <v>6</v>
      </c>
      <c r="G17">
        <f>(B17-B15)^2</f>
        <v>733169.17963017721</v>
      </c>
      <c r="H17">
        <f>(C17-C15)^2</f>
        <v>165332.96905303825</v>
      </c>
      <c r="I17">
        <f t="shared" si="0"/>
        <v>947.89353235646433</v>
      </c>
    </row>
    <row r="18" spans="1:9" x14ac:dyDescent="0.25">
      <c r="A18" t="s">
        <v>54</v>
      </c>
      <c r="B18">
        <v>13454.736698299999</v>
      </c>
      <c r="C18">
        <v>366.94214876000001</v>
      </c>
      <c r="D18" t="s">
        <v>55</v>
      </c>
      <c r="E18" t="s">
        <v>56</v>
      </c>
      <c r="F18">
        <v>6</v>
      </c>
      <c r="G18">
        <f>(B18-B17)^2</f>
        <v>40454.806427655785</v>
      </c>
      <c r="H18">
        <f>(C18-C17)^2</f>
        <v>4255184.7551587718</v>
      </c>
      <c r="I18">
        <f t="shared" si="0"/>
        <v>2072.5924735910885</v>
      </c>
    </row>
    <row r="19" spans="1:9" x14ac:dyDescent="0.25">
      <c r="A19" t="s">
        <v>57</v>
      </c>
      <c r="B19">
        <v>7054.9279420800003</v>
      </c>
      <c r="C19">
        <v>6743.8016528899998</v>
      </c>
      <c r="D19" t="s">
        <v>58</v>
      </c>
      <c r="E19" t="s">
        <v>59</v>
      </c>
      <c r="F19">
        <v>12</v>
      </c>
      <c r="G19">
        <f>(B19-B9)^2</f>
        <v>136396.55004174181</v>
      </c>
      <c r="H19">
        <f>(C19-C9)^2</f>
        <v>4462219.7937093349</v>
      </c>
      <c r="I19">
        <f t="shared" si="0"/>
        <v>2144.4384681662182</v>
      </c>
    </row>
    <row r="20" spans="1:9" x14ac:dyDescent="0.25">
      <c r="A20" t="s">
        <v>60</v>
      </c>
      <c r="B20">
        <v>7134.4307082799996</v>
      </c>
      <c r="C20">
        <v>6723.9669421500002</v>
      </c>
      <c r="D20" t="s">
        <v>61</v>
      </c>
      <c r="E20" t="s">
        <v>62</v>
      </c>
      <c r="F20">
        <v>6</v>
      </c>
      <c r="G20">
        <f>(B20-B19)^2</f>
        <v>6320.6898334517537</v>
      </c>
      <c r="H20">
        <f>(C20-C19)^2</f>
        <v>393.41575013945294</v>
      </c>
      <c r="I20">
        <f t="shared" si="0"/>
        <v>81.939645981607754</v>
      </c>
    </row>
    <row r="21" spans="1:9" x14ac:dyDescent="0.25">
      <c r="A21" t="s">
        <v>63</v>
      </c>
      <c r="B21">
        <v>7491.7013865199997</v>
      </c>
      <c r="C21">
        <v>7894.2148760299997</v>
      </c>
      <c r="D21" t="s">
        <v>64</v>
      </c>
      <c r="E21" t="s">
        <v>65</v>
      </c>
      <c r="F21">
        <v>12</v>
      </c>
      <c r="G21">
        <f>(B21-B19)^2</f>
        <v>190771.04176798122</v>
      </c>
      <c r="H21">
        <f>(C21-C19)^2</f>
        <v>1323450.5839753633</v>
      </c>
      <c r="I21">
        <f t="shared" si="0"/>
        <v>1230.5371289576533</v>
      </c>
    </row>
    <row r="22" spans="1:9" x14ac:dyDescent="0.25">
      <c r="A22" t="s">
        <v>66</v>
      </c>
      <c r="B22">
        <v>6208.2644628099997</v>
      </c>
      <c r="C22">
        <v>8390.0826446299998</v>
      </c>
      <c r="D22" t="s">
        <v>67</v>
      </c>
      <c r="E22" t="s">
        <v>68</v>
      </c>
      <c r="F22">
        <v>6</v>
      </c>
      <c r="G22">
        <f>(B22-B21)^2</f>
        <v>1647210.3371421883</v>
      </c>
      <c r="H22">
        <f>(C22-C21)^2</f>
        <v>245884.84393634324</v>
      </c>
      <c r="I22">
        <f t="shared" si="0"/>
        <v>1375.8979544568454</v>
      </c>
    </row>
    <row r="23" spans="1:9" x14ac:dyDescent="0.25">
      <c r="A23" t="s">
        <v>69</v>
      </c>
      <c r="B23">
        <v>7714.8828631899996</v>
      </c>
      <c r="C23">
        <v>8489.25619835</v>
      </c>
      <c r="D23" t="s">
        <v>70</v>
      </c>
      <c r="E23" t="s">
        <v>71</v>
      </c>
      <c r="F23">
        <v>12</v>
      </c>
      <c r="G23">
        <f>(B23-B21)^2</f>
        <v>49809.971528601724</v>
      </c>
      <c r="H23">
        <f>(C23-C21)^2</f>
        <v>354074.17526833445</v>
      </c>
      <c r="I23">
        <f t="shared" si="0"/>
        <v>635.51880129303504</v>
      </c>
    </row>
    <row r="24" spans="1:9" x14ac:dyDescent="0.25">
      <c r="A24" t="s">
        <v>72</v>
      </c>
      <c r="B24">
        <v>8490.8954306399992</v>
      </c>
      <c r="C24">
        <v>8191.7355371900003</v>
      </c>
      <c r="D24" t="s">
        <v>73</v>
      </c>
      <c r="E24" t="s">
        <v>74</v>
      </c>
      <c r="F24">
        <v>6</v>
      </c>
      <c r="G24">
        <f>(B24-B23)^2</f>
        <v>602195.50484034012</v>
      </c>
      <c r="H24">
        <f>(C24-C23)^2</f>
        <v>88518.543817083351</v>
      </c>
      <c r="I24">
        <f t="shared" si="0"/>
        <v>831.09208193642621</v>
      </c>
    </row>
    <row r="25" spans="1:9" x14ac:dyDescent="0.25">
      <c r="A25" t="s">
        <v>75</v>
      </c>
      <c r="B25">
        <v>8403.4423878199996</v>
      </c>
      <c r="C25">
        <v>10373.553719</v>
      </c>
      <c r="D25" t="s">
        <v>76</v>
      </c>
      <c r="E25" t="s">
        <v>77</v>
      </c>
      <c r="F25">
        <v>14</v>
      </c>
      <c r="G25">
        <f>(B25-B23)^2</f>
        <v>474114.21895869152</v>
      </c>
      <c r="H25">
        <f>(C25-C23)^2</f>
        <v>3550577.1463277354</v>
      </c>
      <c r="I25">
        <f t="shared" si="0"/>
        <v>2006.1633446173887</v>
      </c>
    </row>
    <row r="26" spans="1:9" x14ac:dyDescent="0.25">
      <c r="A26" t="s">
        <v>78</v>
      </c>
      <c r="B26">
        <v>6979.0314869200001</v>
      </c>
      <c r="C26">
        <v>6327.2727272700004</v>
      </c>
    </row>
    <row r="27" spans="1:9" x14ac:dyDescent="0.25">
      <c r="A27" t="s">
        <v>79</v>
      </c>
      <c r="B27">
        <v>7301.3045556999996</v>
      </c>
      <c r="C27">
        <v>4532.23140496</v>
      </c>
    </row>
    <row r="28" spans="1:9" x14ac:dyDescent="0.25">
      <c r="A28" t="s">
        <v>80</v>
      </c>
      <c r="B28">
        <v>9806.2973840600007</v>
      </c>
      <c r="C28">
        <v>3828.0991735500002</v>
      </c>
    </row>
    <row r="29" spans="1:9" x14ac:dyDescent="0.25">
      <c r="A29" t="s">
        <v>81</v>
      </c>
      <c r="B29">
        <v>9841.7867631999998</v>
      </c>
      <c r="C29">
        <v>1933.88429752</v>
      </c>
    </row>
    <row r="30" spans="1:9" x14ac:dyDescent="0.25">
      <c r="A30" t="s">
        <v>82</v>
      </c>
      <c r="B30">
        <v>6052.12758691</v>
      </c>
      <c r="C30">
        <v>2082.6446280999999</v>
      </c>
    </row>
    <row r="31" spans="1:9" x14ac:dyDescent="0.25">
      <c r="A31" t="s">
        <v>83</v>
      </c>
      <c r="B31">
        <v>7283.6008469400003</v>
      </c>
      <c r="C31">
        <v>674.38016528900005</v>
      </c>
    </row>
    <row r="32" spans="1:9" x14ac:dyDescent="0.25">
      <c r="A32" t="s">
        <v>84</v>
      </c>
      <c r="B32">
        <v>4291.5101427500003</v>
      </c>
      <c r="C32">
        <v>3917.3553719000001</v>
      </c>
    </row>
    <row r="33" spans="1:10" x14ac:dyDescent="0.25">
      <c r="C33" t="s">
        <v>85</v>
      </c>
      <c r="D33" t="s">
        <v>86</v>
      </c>
    </row>
    <row r="34" spans="1:10" x14ac:dyDescent="0.25">
      <c r="A34" t="s">
        <v>87</v>
      </c>
      <c r="B34" t="s">
        <v>88</v>
      </c>
      <c r="C34">
        <v>1</v>
      </c>
      <c r="D34">
        <v>1</v>
      </c>
      <c r="E34" t="s">
        <v>89</v>
      </c>
      <c r="F34">
        <v>17.43</v>
      </c>
      <c r="G34">
        <v>113867</v>
      </c>
      <c r="I34">
        <v>113867</v>
      </c>
      <c r="J34" t="s">
        <v>90</v>
      </c>
    </row>
    <row r="35" spans="1:10" x14ac:dyDescent="0.25">
      <c r="A35" t="s">
        <v>91</v>
      </c>
      <c r="C35">
        <v>18</v>
      </c>
      <c r="D35">
        <v>19</v>
      </c>
      <c r="E35" t="s">
        <v>92</v>
      </c>
      <c r="F35">
        <v>17.43</v>
      </c>
      <c r="G35">
        <v>709</v>
      </c>
      <c r="I35">
        <v>709</v>
      </c>
    </row>
    <row r="36" spans="1:10" x14ac:dyDescent="0.25">
      <c r="A36" t="s">
        <v>93</v>
      </c>
      <c r="C36">
        <v>19</v>
      </c>
      <c r="D36">
        <v>16</v>
      </c>
      <c r="E36" t="s">
        <v>94</v>
      </c>
      <c r="F36">
        <v>17.43</v>
      </c>
      <c r="G36">
        <v>3792</v>
      </c>
      <c r="I36">
        <v>3792</v>
      </c>
    </row>
    <row r="37" spans="1:10" x14ac:dyDescent="0.25">
      <c r="A37" t="s">
        <v>93</v>
      </c>
      <c r="C37">
        <v>16</v>
      </c>
      <c r="D37">
        <v>13</v>
      </c>
      <c r="E37" t="s">
        <v>95</v>
      </c>
      <c r="F37">
        <v>17.43</v>
      </c>
      <c r="G37">
        <v>8440</v>
      </c>
      <c r="I37">
        <v>8440</v>
      </c>
    </row>
    <row r="38" spans="1:10" x14ac:dyDescent="0.25">
      <c r="A38" t="s">
        <v>93</v>
      </c>
      <c r="C38">
        <v>13</v>
      </c>
      <c r="D38">
        <v>20</v>
      </c>
      <c r="E38" t="s">
        <v>96</v>
      </c>
      <c r="F38">
        <v>17.43</v>
      </c>
      <c r="G38">
        <v>654</v>
      </c>
      <c r="I38">
        <v>654</v>
      </c>
    </row>
    <row r="39" spans="1:10" x14ac:dyDescent="0.25">
      <c r="A39" t="s">
        <v>93</v>
      </c>
      <c r="C39">
        <v>20</v>
      </c>
      <c r="D39">
        <v>12</v>
      </c>
      <c r="E39" t="s">
        <v>97</v>
      </c>
      <c r="F39">
        <v>17.43</v>
      </c>
      <c r="G39">
        <v>1358</v>
      </c>
      <c r="I39">
        <v>1358</v>
      </c>
    </row>
    <row r="40" spans="1:10" x14ac:dyDescent="0.25">
      <c r="A40" t="s">
        <v>93</v>
      </c>
      <c r="C40">
        <v>12</v>
      </c>
      <c r="D40">
        <v>14</v>
      </c>
      <c r="E40" t="s">
        <v>98</v>
      </c>
      <c r="F40">
        <v>17.43</v>
      </c>
      <c r="G40">
        <v>12960</v>
      </c>
      <c r="I40">
        <v>12960</v>
      </c>
    </row>
    <row r="41" spans="1:10" x14ac:dyDescent="0.25">
      <c r="A41" t="s">
        <v>93</v>
      </c>
      <c r="C41">
        <v>14</v>
      </c>
      <c r="D41">
        <v>17</v>
      </c>
      <c r="E41" t="s">
        <v>99</v>
      </c>
      <c r="F41">
        <v>17.43</v>
      </c>
      <c r="G41">
        <v>5554</v>
      </c>
      <c r="I41">
        <v>5554</v>
      </c>
    </row>
    <row r="42" spans="1:10" x14ac:dyDescent="0.25">
      <c r="A42" t="s">
        <v>93</v>
      </c>
      <c r="C42">
        <v>17</v>
      </c>
      <c r="D42">
        <v>11</v>
      </c>
      <c r="E42" t="s">
        <v>100</v>
      </c>
      <c r="F42">
        <v>17.43</v>
      </c>
      <c r="G42">
        <v>5231</v>
      </c>
      <c r="I42">
        <v>5231</v>
      </c>
    </row>
    <row r="43" spans="1:10" x14ac:dyDescent="0.25">
      <c r="A43" t="s">
        <v>93</v>
      </c>
      <c r="C43">
        <v>11</v>
      </c>
      <c r="D43">
        <v>10</v>
      </c>
      <c r="E43" t="s">
        <v>101</v>
      </c>
      <c r="F43">
        <v>17.43</v>
      </c>
      <c r="G43">
        <v>4011</v>
      </c>
      <c r="I43">
        <v>4011</v>
      </c>
    </row>
    <row r="44" spans="1:10" x14ac:dyDescent="0.25">
      <c r="A44" t="s">
        <v>93</v>
      </c>
      <c r="C44">
        <v>10</v>
      </c>
      <c r="D44">
        <v>8</v>
      </c>
      <c r="E44" t="s">
        <v>102</v>
      </c>
      <c r="F44">
        <v>17.43</v>
      </c>
      <c r="G44">
        <v>3863</v>
      </c>
      <c r="I44">
        <v>3863</v>
      </c>
    </row>
    <row r="45" spans="1:10" x14ac:dyDescent="0.25">
      <c r="A45" t="s">
        <v>93</v>
      </c>
      <c r="C45">
        <v>8</v>
      </c>
      <c r="D45">
        <v>7</v>
      </c>
      <c r="E45" t="s">
        <v>103</v>
      </c>
      <c r="F45">
        <v>17.43</v>
      </c>
      <c r="G45">
        <v>19458</v>
      </c>
      <c r="I45">
        <v>19458</v>
      </c>
    </row>
    <row r="46" spans="1:10" x14ac:dyDescent="0.25">
      <c r="A46" t="s">
        <v>93</v>
      </c>
      <c r="C46">
        <v>7</v>
      </c>
      <c r="D46">
        <v>21</v>
      </c>
      <c r="E46" t="s">
        <v>104</v>
      </c>
      <c r="F46">
        <v>17.43</v>
      </c>
      <c r="G46">
        <v>1871</v>
      </c>
      <c r="I46">
        <v>1871</v>
      </c>
    </row>
    <row r="47" spans="1:10" x14ac:dyDescent="0.25">
      <c r="A47" t="s">
        <v>93</v>
      </c>
      <c r="C47">
        <v>21</v>
      </c>
      <c r="D47">
        <v>6</v>
      </c>
      <c r="E47" t="s">
        <v>105</v>
      </c>
      <c r="F47">
        <v>17.43</v>
      </c>
      <c r="G47">
        <v>12851</v>
      </c>
      <c r="I47">
        <v>12851</v>
      </c>
    </row>
    <row r="48" spans="1:10" x14ac:dyDescent="0.25">
      <c r="A48" t="s">
        <v>93</v>
      </c>
      <c r="C48">
        <v>6</v>
      </c>
      <c r="D48">
        <v>5</v>
      </c>
      <c r="E48" t="s">
        <v>106</v>
      </c>
      <c r="F48">
        <v>17.43</v>
      </c>
      <c r="G48">
        <v>14340</v>
      </c>
      <c r="I48">
        <v>14340</v>
      </c>
    </row>
    <row r="49" spans="1:9" x14ac:dyDescent="0.25">
      <c r="A49" t="s">
        <v>93</v>
      </c>
      <c r="C49">
        <v>5</v>
      </c>
      <c r="D49">
        <v>22</v>
      </c>
      <c r="E49" t="s">
        <v>107</v>
      </c>
      <c r="F49">
        <v>17.43</v>
      </c>
      <c r="G49">
        <v>1681</v>
      </c>
      <c r="I49">
        <v>1681</v>
      </c>
    </row>
    <row r="50" spans="1:9" x14ac:dyDescent="0.25">
      <c r="A50" t="s">
        <v>93</v>
      </c>
      <c r="C50">
        <v>22</v>
      </c>
      <c r="D50">
        <v>23</v>
      </c>
      <c r="E50" t="s">
        <v>108</v>
      </c>
      <c r="F50">
        <v>17.43</v>
      </c>
      <c r="G50">
        <v>2639</v>
      </c>
      <c r="I50">
        <v>2639</v>
      </c>
    </row>
    <row r="51" spans="1:9" x14ac:dyDescent="0.25">
      <c r="A51" t="s">
        <v>93</v>
      </c>
      <c r="C51">
        <v>23</v>
      </c>
      <c r="D51">
        <v>4</v>
      </c>
      <c r="E51" t="s">
        <v>109</v>
      </c>
      <c r="F51">
        <v>17.43</v>
      </c>
      <c r="G51">
        <v>2587</v>
      </c>
      <c r="I51">
        <v>2587</v>
      </c>
    </row>
    <row r="52" spans="1:9" x14ac:dyDescent="0.25">
      <c r="A52" t="s">
        <v>93</v>
      </c>
      <c r="C52">
        <v>4</v>
      </c>
      <c r="D52">
        <v>3</v>
      </c>
      <c r="E52" t="s">
        <v>110</v>
      </c>
      <c r="F52">
        <v>17.43</v>
      </c>
      <c r="G52">
        <v>895</v>
      </c>
      <c r="I52">
        <v>895</v>
      </c>
    </row>
    <row r="53" spans="1:9" x14ac:dyDescent="0.25">
      <c r="A53" t="s">
        <v>93</v>
      </c>
      <c r="C53">
        <v>3</v>
      </c>
      <c r="D53">
        <v>2</v>
      </c>
      <c r="E53" t="s">
        <v>111</v>
      </c>
      <c r="F53">
        <v>17.43</v>
      </c>
      <c r="G53">
        <v>4436</v>
      </c>
      <c r="I53">
        <v>4436</v>
      </c>
    </row>
    <row r="54" spans="1:9" x14ac:dyDescent="0.25">
      <c r="A54" t="s">
        <v>93</v>
      </c>
      <c r="C54">
        <v>2</v>
      </c>
      <c r="D54">
        <v>24</v>
      </c>
      <c r="E54" t="s">
        <v>112</v>
      </c>
      <c r="F54">
        <v>17.43</v>
      </c>
      <c r="G54">
        <v>2859</v>
      </c>
      <c r="I54">
        <v>2859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topLeftCell="A13" zoomScaleNormal="100" workbookViewId="0">
      <selection activeCell="B39" sqref="B39"/>
    </sheetView>
  </sheetViews>
  <sheetFormatPr defaultColWidth="11.5703125" defaultRowHeight="15" x14ac:dyDescent="0.25"/>
  <cols>
    <col min="1" max="1" width="14.5703125" customWidth="1"/>
  </cols>
  <sheetData>
    <row r="1" spans="1:4" x14ac:dyDescent="0.25">
      <c r="A1" t="s">
        <v>113</v>
      </c>
      <c r="B1" t="s">
        <v>114</v>
      </c>
      <c r="D1" t="s">
        <v>115</v>
      </c>
    </row>
    <row r="2" spans="1:4" x14ac:dyDescent="0.25">
      <c r="A2" t="s">
        <v>116</v>
      </c>
      <c r="B2">
        <v>2793.06</v>
      </c>
      <c r="D2" t="s">
        <v>117</v>
      </c>
    </row>
    <row r="3" spans="1:4" x14ac:dyDescent="0.25">
      <c r="A3" t="s">
        <v>118</v>
      </c>
      <c r="B3">
        <v>2790</v>
      </c>
      <c r="D3" t="s">
        <v>117</v>
      </c>
    </row>
    <row r="4" spans="1:4" x14ac:dyDescent="0.25">
      <c r="A4" t="s">
        <v>119</v>
      </c>
      <c r="B4">
        <v>0</v>
      </c>
      <c r="D4" t="s">
        <v>117</v>
      </c>
    </row>
    <row r="5" spans="1:4" x14ac:dyDescent="0.25">
      <c r="A5" t="s">
        <v>120</v>
      </c>
      <c r="B5">
        <v>2791.25</v>
      </c>
      <c r="D5" t="s">
        <v>117</v>
      </c>
    </row>
    <row r="6" spans="1:4" x14ac:dyDescent="0.25">
      <c r="A6" t="s">
        <v>121</v>
      </c>
      <c r="B6">
        <v>0</v>
      </c>
      <c r="D6" t="s">
        <v>117</v>
      </c>
    </row>
    <row r="7" spans="1:4" x14ac:dyDescent="0.25">
      <c r="A7" t="s">
        <v>122</v>
      </c>
      <c r="B7">
        <v>0</v>
      </c>
      <c r="D7" t="s">
        <v>117</v>
      </c>
    </row>
    <row r="8" spans="1:4" x14ac:dyDescent="0.25">
      <c r="A8" t="s">
        <v>123</v>
      </c>
      <c r="B8">
        <v>0</v>
      </c>
      <c r="D8" t="s">
        <v>117</v>
      </c>
    </row>
    <row r="9" spans="1:4" x14ac:dyDescent="0.25">
      <c r="A9" t="s">
        <v>124</v>
      </c>
      <c r="B9">
        <v>0</v>
      </c>
      <c r="D9" t="s">
        <v>117</v>
      </c>
    </row>
    <row r="10" spans="1:4" x14ac:dyDescent="0.25">
      <c r="A10" t="s">
        <v>125</v>
      </c>
      <c r="B10">
        <v>0</v>
      </c>
      <c r="D10" t="s">
        <v>117</v>
      </c>
    </row>
    <row r="11" spans="1:4" x14ac:dyDescent="0.25">
      <c r="A11" t="s">
        <v>126</v>
      </c>
      <c r="B11">
        <v>0</v>
      </c>
      <c r="D11" t="s">
        <v>117</v>
      </c>
    </row>
    <row r="12" spans="1:4" x14ac:dyDescent="0.25">
      <c r="A12" t="s">
        <v>127</v>
      </c>
      <c r="B12">
        <v>0</v>
      </c>
      <c r="D12" t="s">
        <v>117</v>
      </c>
    </row>
    <row r="13" spans="1:4" x14ac:dyDescent="0.25">
      <c r="A13" t="s">
        <v>128</v>
      </c>
      <c r="B13">
        <v>0</v>
      </c>
      <c r="D13" t="s">
        <v>117</v>
      </c>
    </row>
    <row r="14" spans="1:4" x14ac:dyDescent="0.25">
      <c r="A14" t="s">
        <v>129</v>
      </c>
      <c r="B14">
        <v>0</v>
      </c>
      <c r="D14" t="s">
        <v>117</v>
      </c>
    </row>
    <row r="15" spans="1:4" x14ac:dyDescent="0.25">
      <c r="A15" t="s">
        <v>130</v>
      </c>
      <c r="B15">
        <v>0</v>
      </c>
      <c r="D15" t="s">
        <v>117</v>
      </c>
    </row>
    <row r="16" spans="1:4" x14ac:dyDescent="0.25">
      <c r="A16" t="s">
        <v>131</v>
      </c>
      <c r="B16">
        <v>0</v>
      </c>
      <c r="D16" t="s">
        <v>117</v>
      </c>
    </row>
    <row r="17" spans="1:4" x14ac:dyDescent="0.25">
      <c r="A17" t="s">
        <v>132</v>
      </c>
      <c r="B17">
        <v>2813.46</v>
      </c>
      <c r="D17" t="s">
        <v>117</v>
      </c>
    </row>
    <row r="18" spans="1:4" x14ac:dyDescent="0.25">
      <c r="A18" t="s">
        <v>133</v>
      </c>
      <c r="B18">
        <v>2802.59</v>
      </c>
      <c r="D18" t="s">
        <v>117</v>
      </c>
    </row>
    <row r="19" spans="1:4" x14ac:dyDescent="0.25">
      <c r="A19" t="s">
        <v>134</v>
      </c>
      <c r="B19">
        <v>2820.27</v>
      </c>
      <c r="D19" t="s">
        <v>117</v>
      </c>
    </row>
    <row r="20" spans="1:4" x14ac:dyDescent="0.25">
      <c r="A20" t="s">
        <v>135</v>
      </c>
      <c r="B20">
        <v>0</v>
      </c>
      <c r="D20" t="s">
        <v>117</v>
      </c>
    </row>
    <row r="21" spans="1:4" x14ac:dyDescent="0.25">
      <c r="A21" t="s">
        <v>136</v>
      </c>
      <c r="B21">
        <v>0</v>
      </c>
      <c r="D21" t="s">
        <v>117</v>
      </c>
    </row>
    <row r="22" spans="1:4" x14ac:dyDescent="0.25">
      <c r="A22" t="s">
        <v>137</v>
      </c>
      <c r="B22">
        <v>2781.53</v>
      </c>
      <c r="D22" t="s">
        <v>117</v>
      </c>
    </row>
    <row r="23" spans="1:4" x14ac:dyDescent="0.25">
      <c r="A23" t="s">
        <v>138</v>
      </c>
      <c r="B23">
        <v>2792.37</v>
      </c>
      <c r="D23" t="s">
        <v>117</v>
      </c>
    </row>
    <row r="24" spans="1:4" x14ac:dyDescent="0.25">
      <c r="A24" t="s">
        <v>139</v>
      </c>
      <c r="B24">
        <v>0</v>
      </c>
      <c r="D24" t="s">
        <v>117</v>
      </c>
    </row>
    <row r="25" spans="1:4" x14ac:dyDescent="0.25">
      <c r="A25" t="s">
        <v>140</v>
      </c>
      <c r="B25">
        <v>0</v>
      </c>
      <c r="D25" t="s">
        <v>117</v>
      </c>
    </row>
    <row r="26" spans="1:4" x14ac:dyDescent="0.25">
      <c r="A26">
        <v>2</v>
      </c>
      <c r="B26">
        <v>2599</v>
      </c>
      <c r="D26" t="s">
        <v>141</v>
      </c>
    </row>
    <row r="27" spans="1:4" x14ac:dyDescent="0.25">
      <c r="A27">
        <v>3</v>
      </c>
      <c r="B27">
        <v>2590</v>
      </c>
      <c r="D27" t="s">
        <v>141</v>
      </c>
    </row>
    <row r="28" spans="1:4" x14ac:dyDescent="0.25">
      <c r="A28">
        <v>4</v>
      </c>
      <c r="B28">
        <v>2590</v>
      </c>
      <c r="D28" t="s">
        <v>141</v>
      </c>
    </row>
    <row r="29" spans="1:4" x14ac:dyDescent="0.25">
      <c r="A29">
        <v>5</v>
      </c>
      <c r="B29">
        <v>2572</v>
      </c>
      <c r="D29" t="s">
        <v>141</v>
      </c>
    </row>
    <row r="30" spans="1:4" x14ac:dyDescent="0.25">
      <c r="A30">
        <v>6</v>
      </c>
      <c r="B30">
        <v>2567</v>
      </c>
      <c r="D30" t="s">
        <v>141</v>
      </c>
    </row>
    <row r="31" spans="1:4" x14ac:dyDescent="0.25">
      <c r="A31">
        <v>7</v>
      </c>
      <c r="B31">
        <v>2572</v>
      </c>
      <c r="D31" t="s">
        <v>141</v>
      </c>
    </row>
    <row r="32" spans="1:4" x14ac:dyDescent="0.25">
      <c r="A32">
        <v>8</v>
      </c>
      <c r="B32">
        <v>2628</v>
      </c>
      <c r="D32" t="s">
        <v>141</v>
      </c>
    </row>
    <row r="33" spans="1:4" x14ac:dyDescent="0.25">
      <c r="A33">
        <v>10</v>
      </c>
      <c r="B33">
        <v>2634</v>
      </c>
      <c r="D33" t="s">
        <v>141</v>
      </c>
    </row>
    <row r="34" spans="1:4" x14ac:dyDescent="0.25">
      <c r="A34">
        <v>11</v>
      </c>
      <c r="B34">
        <v>2658</v>
      </c>
      <c r="D34" t="s">
        <v>141</v>
      </c>
    </row>
    <row r="35" spans="1:4" x14ac:dyDescent="0.25">
      <c r="A35">
        <v>12</v>
      </c>
      <c r="B35">
        <v>2770</v>
      </c>
      <c r="D35" t="s">
        <v>141</v>
      </c>
    </row>
    <row r="36" spans="1:4" x14ac:dyDescent="0.25">
      <c r="A36">
        <v>13</v>
      </c>
      <c r="B36">
        <v>2770</v>
      </c>
      <c r="D36" t="s">
        <v>141</v>
      </c>
    </row>
    <row r="37" spans="1:4" x14ac:dyDescent="0.25">
      <c r="A37">
        <v>14</v>
      </c>
      <c r="B37">
        <v>0</v>
      </c>
      <c r="D37" t="s">
        <v>141</v>
      </c>
    </row>
    <row r="38" spans="1:4" x14ac:dyDescent="0.25">
      <c r="A38">
        <v>16</v>
      </c>
      <c r="B38">
        <v>2780</v>
      </c>
      <c r="D38" t="s">
        <v>141</v>
      </c>
    </row>
    <row r="39" spans="1:4" x14ac:dyDescent="0.25">
      <c r="A39">
        <v>17</v>
      </c>
      <c r="B39">
        <v>0</v>
      </c>
      <c r="D39" t="s">
        <v>141</v>
      </c>
    </row>
    <row r="40" spans="1:4" x14ac:dyDescent="0.25">
      <c r="A40">
        <v>18</v>
      </c>
      <c r="B40">
        <v>2793</v>
      </c>
      <c r="D40" t="s">
        <v>141</v>
      </c>
    </row>
    <row r="41" spans="1:4" x14ac:dyDescent="0.25">
      <c r="A41">
        <v>19</v>
      </c>
      <c r="B41">
        <v>2794</v>
      </c>
      <c r="D41" t="s">
        <v>141</v>
      </c>
    </row>
    <row r="42" spans="1:4" x14ac:dyDescent="0.25">
      <c r="A42">
        <v>20</v>
      </c>
      <c r="B42">
        <v>2771</v>
      </c>
      <c r="D42" t="s">
        <v>141</v>
      </c>
    </row>
    <row r="43" spans="1:4" x14ac:dyDescent="0.25">
      <c r="A43">
        <v>21</v>
      </c>
      <c r="B43">
        <v>2565</v>
      </c>
      <c r="D43" t="s">
        <v>141</v>
      </c>
    </row>
    <row r="44" spans="1:4" x14ac:dyDescent="0.25">
      <c r="A44">
        <v>22</v>
      </c>
      <c r="B44">
        <v>2571</v>
      </c>
      <c r="D44" t="s">
        <v>141</v>
      </c>
    </row>
    <row r="45" spans="1:4" x14ac:dyDescent="0.25">
      <c r="A45">
        <v>23</v>
      </c>
      <c r="B45">
        <v>2581</v>
      </c>
      <c r="D45" t="s">
        <v>141</v>
      </c>
    </row>
    <row r="46" spans="1:4" x14ac:dyDescent="0.25">
      <c r="A46" t="s">
        <v>142</v>
      </c>
    </row>
    <row r="47" spans="1:4" x14ac:dyDescent="0.25">
      <c r="A47">
        <v>9</v>
      </c>
      <c r="B47">
        <v>0</v>
      </c>
      <c r="C47" t="s">
        <v>143</v>
      </c>
      <c r="D47" t="s">
        <v>144</v>
      </c>
    </row>
    <row r="48" spans="1:4" x14ac:dyDescent="0.25">
      <c r="A48">
        <v>15</v>
      </c>
      <c r="B48">
        <v>0</v>
      </c>
      <c r="C48" t="s">
        <v>143</v>
      </c>
      <c r="D48" t="s">
        <v>144</v>
      </c>
    </row>
    <row r="49" spans="1:4" x14ac:dyDescent="0.25">
      <c r="A49">
        <v>27</v>
      </c>
      <c r="B49">
        <v>0</v>
      </c>
      <c r="C49" t="s">
        <v>143</v>
      </c>
      <c r="D49" t="s">
        <v>144</v>
      </c>
    </row>
    <row r="50" spans="1:4" x14ac:dyDescent="0.25">
      <c r="A50">
        <v>28</v>
      </c>
      <c r="B50">
        <v>0</v>
      </c>
      <c r="C50" t="s">
        <v>143</v>
      </c>
      <c r="D50" t="s">
        <v>144</v>
      </c>
    </row>
    <row r="51" spans="1:4" x14ac:dyDescent="0.25">
      <c r="A51">
        <v>29</v>
      </c>
      <c r="B51">
        <v>0</v>
      </c>
      <c r="C51" t="s">
        <v>143</v>
      </c>
      <c r="D51" t="s">
        <v>144</v>
      </c>
    </row>
    <row r="52" spans="1:4" x14ac:dyDescent="0.25">
      <c r="A52">
        <v>30</v>
      </c>
      <c r="B52">
        <v>0</v>
      </c>
      <c r="C52" t="s">
        <v>143</v>
      </c>
      <c r="D52" t="s">
        <v>144</v>
      </c>
    </row>
    <row r="53" spans="1:4" x14ac:dyDescent="0.25">
      <c r="A53">
        <v>31</v>
      </c>
      <c r="B53">
        <v>0</v>
      </c>
      <c r="C53" t="s">
        <v>143</v>
      </c>
      <c r="D53" t="s">
        <v>144</v>
      </c>
    </row>
    <row r="54" spans="1:4" x14ac:dyDescent="0.25">
      <c r="A54">
        <v>32</v>
      </c>
      <c r="B54">
        <v>0</v>
      </c>
      <c r="C54" t="s">
        <v>143</v>
      </c>
      <c r="D54" t="s">
        <v>144</v>
      </c>
    </row>
    <row r="55" spans="1:4" x14ac:dyDescent="0.25">
      <c r="A55">
        <v>33</v>
      </c>
      <c r="B55">
        <v>0</v>
      </c>
      <c r="C55" t="s">
        <v>143</v>
      </c>
      <c r="D55" t="s">
        <v>144</v>
      </c>
    </row>
    <row r="56" spans="1:4" x14ac:dyDescent="0.25">
      <c r="A56">
        <v>34</v>
      </c>
      <c r="B56">
        <v>0</v>
      </c>
      <c r="C56" t="s">
        <v>143</v>
      </c>
      <c r="D56" t="s">
        <v>144</v>
      </c>
    </row>
    <row r="57" spans="1:4" x14ac:dyDescent="0.25">
      <c r="A57">
        <v>35</v>
      </c>
      <c r="B57">
        <v>0</v>
      </c>
      <c r="C57" t="s">
        <v>143</v>
      </c>
      <c r="D57" t="s">
        <v>144</v>
      </c>
    </row>
    <row r="58" spans="1:4" x14ac:dyDescent="0.25">
      <c r="A58">
        <v>36</v>
      </c>
      <c r="B58">
        <v>0</v>
      </c>
      <c r="C58" t="s">
        <v>143</v>
      </c>
      <c r="D58" t="s">
        <v>144</v>
      </c>
    </row>
    <row r="59" spans="1:4" x14ac:dyDescent="0.25">
      <c r="A59">
        <v>37</v>
      </c>
      <c r="B59">
        <v>0</v>
      </c>
      <c r="C59" t="s">
        <v>143</v>
      </c>
      <c r="D59" t="s">
        <v>144</v>
      </c>
    </row>
    <row r="60" spans="1:4" x14ac:dyDescent="0.25">
      <c r="A60">
        <v>38</v>
      </c>
      <c r="B60">
        <v>0</v>
      </c>
      <c r="C60" t="s">
        <v>143</v>
      </c>
      <c r="D60" t="s">
        <v>144</v>
      </c>
    </row>
    <row r="61" spans="1:4" x14ac:dyDescent="0.25">
      <c r="A61">
        <v>24</v>
      </c>
      <c r="B61">
        <v>2597</v>
      </c>
      <c r="C61" t="s">
        <v>143</v>
      </c>
      <c r="D61" t="s">
        <v>145</v>
      </c>
    </row>
    <row r="62" spans="1:4" x14ac:dyDescent="0.25">
      <c r="A62">
        <v>1</v>
      </c>
      <c r="B62">
        <v>0</v>
      </c>
      <c r="D62" t="s">
        <v>146</v>
      </c>
    </row>
  </sheetData>
  <pageMargins left="0.78749999999999998" right="0.78749999999999998" top="1.0249999999999999" bottom="1.0249999999999999" header="0.78749999999999998" footer="0.78749999999999998"/>
  <pageSetup orientation="portrait" horizontalDpi="300" verticalDpi="300"/>
  <headerFooter>
    <oddHeader>&amp;C&amp;"Arial,Regular"&amp;10&amp;Kffffff&amp;A</oddHeader>
    <oddFooter>&amp;C&amp;"Arial,Regular"&amp;10&amp;KffffffPage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F23" sqref="F23"/>
    </sheetView>
  </sheetViews>
  <sheetFormatPr defaultRowHeight="15" x14ac:dyDescent="0.25"/>
  <cols>
    <col min="1" max="1" width="23.140625" customWidth="1"/>
  </cols>
  <sheetData>
    <row r="1" spans="1:2" x14ac:dyDescent="0.25">
      <c r="A1" t="s">
        <v>302</v>
      </c>
    </row>
    <row r="2" spans="1:2" x14ac:dyDescent="0.25">
      <c r="A2" s="13" t="s">
        <v>303</v>
      </c>
      <c r="B2">
        <v>2.94</v>
      </c>
    </row>
    <row r="3" spans="1:2" x14ac:dyDescent="0.25">
      <c r="A3" s="13" t="s">
        <v>304</v>
      </c>
      <c r="B3">
        <v>17.43</v>
      </c>
    </row>
    <row r="4" spans="1:2" x14ac:dyDescent="0.25">
      <c r="A4" s="13" t="s">
        <v>305</v>
      </c>
      <c r="B4">
        <v>32.200000000000003</v>
      </c>
    </row>
    <row r="6" spans="1:2" x14ac:dyDescent="0.25">
      <c r="A6" s="13" t="s">
        <v>306</v>
      </c>
      <c r="B6">
        <f>B3/12</f>
        <v>1.4524999999999999</v>
      </c>
    </row>
    <row r="7" spans="1:2" x14ac:dyDescent="0.25">
      <c r="A7" s="13" t="s">
        <v>307</v>
      </c>
      <c r="B7">
        <f>B2^2</f>
        <v>8.6435999999999993</v>
      </c>
    </row>
    <row r="8" spans="1:2" x14ac:dyDescent="0.25">
      <c r="A8" s="13" t="s">
        <v>308</v>
      </c>
      <c r="B8">
        <f>2*B4</f>
        <v>64.400000000000006</v>
      </c>
    </row>
    <row r="9" spans="1:2" x14ac:dyDescent="0.25">
      <c r="A9" s="13" t="s">
        <v>310</v>
      </c>
      <c r="B9">
        <f>7.48*(60*B2*0.25*PI()*B6^2)</f>
        <v>2186.3633675303658</v>
      </c>
    </row>
    <row r="11" spans="1:2" x14ac:dyDescent="0.25">
      <c r="A11" s="13" t="s">
        <v>309</v>
      </c>
      <c r="B11">
        <f>B7/B8</f>
        <v>0.13421739130434782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8"/>
  <sheetViews>
    <sheetView topLeftCell="A52" workbookViewId="0">
      <selection activeCell="E1" sqref="E1:K78"/>
    </sheetView>
  </sheetViews>
  <sheetFormatPr defaultRowHeight="15" x14ac:dyDescent="0.25"/>
  <cols>
    <col min="1" max="1" width="23.140625" customWidth="1"/>
    <col min="8" max="8" width="12" customWidth="1"/>
    <col min="9" max="9" width="12.140625" customWidth="1"/>
    <col min="11" max="11" width="21.5703125" customWidth="1"/>
  </cols>
  <sheetData>
    <row r="1" spans="1:17" x14ac:dyDescent="0.25">
      <c r="A1" t="s">
        <v>287</v>
      </c>
      <c r="E1" s="2" t="s">
        <v>284</v>
      </c>
      <c r="F1" s="3"/>
      <c r="G1" s="3"/>
      <c r="H1" s="3"/>
      <c r="I1" s="3"/>
      <c r="J1" s="3"/>
      <c r="K1" s="4"/>
      <c r="L1" s="1"/>
    </row>
    <row r="2" spans="1:17" x14ac:dyDescent="0.25">
      <c r="A2" t="s">
        <v>147</v>
      </c>
      <c r="E2" s="5"/>
      <c r="F2" s="6"/>
      <c r="G2" s="6"/>
      <c r="H2" s="6"/>
      <c r="I2" s="6"/>
      <c r="J2" s="6"/>
      <c r="K2" s="7"/>
      <c r="N2" t="s">
        <v>288</v>
      </c>
    </row>
    <row r="3" spans="1:17" x14ac:dyDescent="0.25">
      <c r="A3" t="s">
        <v>148</v>
      </c>
      <c r="B3" t="s">
        <v>149</v>
      </c>
      <c r="C3" t="s">
        <v>150</v>
      </c>
      <c r="E3" s="5" t="s">
        <v>282</v>
      </c>
      <c r="F3" s="6"/>
      <c r="G3" s="6"/>
      <c r="H3" s="6" t="s">
        <v>283</v>
      </c>
      <c r="I3" s="6"/>
      <c r="J3" s="6"/>
      <c r="K3" s="8" t="s">
        <v>285</v>
      </c>
      <c r="N3" t="s">
        <v>148</v>
      </c>
      <c r="O3" t="s">
        <v>149</v>
      </c>
      <c r="P3" t="s">
        <v>289</v>
      </c>
      <c r="Q3" t="s">
        <v>150</v>
      </c>
    </row>
    <row r="4" spans="1:17" x14ac:dyDescent="0.25">
      <c r="A4" t="s">
        <v>151</v>
      </c>
      <c r="B4" t="s">
        <v>152</v>
      </c>
      <c r="C4" t="s">
        <v>153</v>
      </c>
      <c r="E4" s="5" t="s">
        <v>229</v>
      </c>
      <c r="F4" s="6" t="s">
        <v>230</v>
      </c>
      <c r="G4" s="6"/>
      <c r="H4" s="6" t="s">
        <v>229</v>
      </c>
      <c r="I4" s="6" t="s">
        <v>230</v>
      </c>
      <c r="J4" s="6"/>
      <c r="K4" s="7" t="s">
        <v>286</v>
      </c>
      <c r="N4" t="s">
        <v>151</v>
      </c>
      <c r="O4" t="s">
        <v>152</v>
      </c>
      <c r="P4" t="s">
        <v>152</v>
      </c>
      <c r="Q4" t="s">
        <v>153</v>
      </c>
    </row>
    <row r="5" spans="1:17" x14ac:dyDescent="0.25">
      <c r="A5" t="s">
        <v>154</v>
      </c>
      <c r="B5">
        <v>2793</v>
      </c>
      <c r="C5">
        <v>10.59</v>
      </c>
      <c r="E5" s="5" t="str">
        <f>LEFT(H5,6)</f>
        <v>31.134</v>
      </c>
      <c r="F5" s="6" t="str">
        <f>LEFT(I5,8)</f>
        <v>-103.377</v>
      </c>
      <c r="G5" s="6"/>
      <c r="H5" s="6" t="str">
        <f>LEFT(K5,9)</f>
        <v>31.134986</v>
      </c>
      <c r="I5" s="6" t="str">
        <f>RIGHT(K5,11)</f>
        <v>-103.377198</v>
      </c>
      <c r="J5" s="6"/>
      <c r="K5" s="7" t="s">
        <v>254</v>
      </c>
      <c r="N5" t="s">
        <v>154</v>
      </c>
      <c r="O5">
        <v>2793</v>
      </c>
      <c r="P5">
        <v>2825.65</v>
      </c>
      <c r="Q5">
        <v>14.15</v>
      </c>
    </row>
    <row r="6" spans="1:17" x14ac:dyDescent="0.25">
      <c r="A6" t="s">
        <v>155</v>
      </c>
      <c r="B6">
        <v>2790</v>
      </c>
      <c r="C6">
        <v>9.0299999999999994</v>
      </c>
      <c r="E6" s="5" t="str">
        <f>LEFT(H6,6)</f>
        <v>31.136</v>
      </c>
      <c r="F6" s="6" t="str">
        <f>LEFT(I6,8)</f>
        <v>-103.376</v>
      </c>
      <c r="G6" s="6"/>
      <c r="H6" s="6" t="str">
        <f>LEFT(K6,9)</f>
        <v>31.136326</v>
      </c>
      <c r="I6" s="6" t="str">
        <f>RIGHT(K6,11)</f>
        <v>-103.376751</v>
      </c>
      <c r="J6" s="6"/>
      <c r="K6" s="7" t="s">
        <v>255</v>
      </c>
      <c r="N6" t="s">
        <v>155</v>
      </c>
      <c r="O6">
        <v>2790</v>
      </c>
      <c r="P6">
        <v>2819.23</v>
      </c>
      <c r="Q6">
        <v>12.67</v>
      </c>
    </row>
    <row r="7" spans="1:17" x14ac:dyDescent="0.25">
      <c r="A7" t="s">
        <v>156</v>
      </c>
      <c r="B7">
        <v>2787.48</v>
      </c>
      <c r="C7">
        <v>17.71</v>
      </c>
      <c r="E7" s="5" t="str">
        <f>LEFT(H7,6)</f>
        <v>31.131</v>
      </c>
      <c r="F7" s="6" t="str">
        <f>LEFT(I7,8)</f>
        <v>-103.378</v>
      </c>
      <c r="G7" s="6"/>
      <c r="H7" s="6" t="str">
        <f>LEFT(K7,9)</f>
        <v>31.131285</v>
      </c>
      <c r="I7" s="6" t="str">
        <f>RIGHT(K7,11)</f>
        <v>-103.378093</v>
      </c>
      <c r="J7" s="6"/>
      <c r="K7" s="7" t="s">
        <v>252</v>
      </c>
      <c r="N7" t="s">
        <v>156</v>
      </c>
      <c r="O7">
        <v>2787.48</v>
      </c>
      <c r="P7">
        <v>2836.26</v>
      </c>
      <c r="Q7">
        <v>21.14</v>
      </c>
    </row>
    <row r="8" spans="1:17" x14ac:dyDescent="0.25">
      <c r="A8" t="s">
        <v>157</v>
      </c>
      <c r="B8">
        <v>2791.25</v>
      </c>
      <c r="C8">
        <v>3.53</v>
      </c>
      <c r="E8" s="5" t="str">
        <f>LEFT(H8,6)</f>
        <v>31.140</v>
      </c>
      <c r="F8" s="6" t="str">
        <f>LEFT(I8,8)</f>
        <v>-103.375</v>
      </c>
      <c r="G8" s="6"/>
      <c r="H8" s="6" t="str">
        <f>LEFT(K8,9)</f>
        <v>31.140601</v>
      </c>
      <c r="I8" s="6" t="str">
        <f>RIGHT(K8,11)</f>
        <v>-103.375857</v>
      </c>
      <c r="J8" s="6"/>
      <c r="K8" s="7" t="s">
        <v>258</v>
      </c>
      <c r="N8" t="s">
        <v>157</v>
      </c>
      <c r="O8">
        <v>2791.25</v>
      </c>
      <c r="P8">
        <v>2808.13</v>
      </c>
      <c r="Q8">
        <v>7.31</v>
      </c>
    </row>
    <row r="9" spans="1:17" x14ac:dyDescent="0.25">
      <c r="A9" t="s">
        <v>158</v>
      </c>
      <c r="B9">
        <v>2790</v>
      </c>
      <c r="C9">
        <v>23.57</v>
      </c>
      <c r="E9" s="5" t="str">
        <f>LEFT(H9,6)</f>
        <v>31.125</v>
      </c>
      <c r="F9" s="6" t="str">
        <f>LEFT(I9,8)</f>
        <v>-103.379</v>
      </c>
      <c r="G9" s="6"/>
      <c r="H9" s="6" t="str">
        <f>LEFT(K9,9)</f>
        <v>31.125479</v>
      </c>
      <c r="I9" s="6" t="str">
        <f>RIGHT(K9,11)</f>
        <v>-103.379435</v>
      </c>
      <c r="J9" s="6"/>
      <c r="K9" s="7" t="s">
        <v>249</v>
      </c>
      <c r="N9" t="s">
        <v>158</v>
      </c>
      <c r="O9">
        <v>2790</v>
      </c>
      <c r="P9">
        <v>2851.86</v>
      </c>
      <c r="Q9">
        <v>26.8</v>
      </c>
    </row>
    <row r="10" spans="1:17" x14ac:dyDescent="0.25">
      <c r="A10" t="s">
        <v>159</v>
      </c>
      <c r="B10">
        <v>2792.39</v>
      </c>
      <c r="C10">
        <v>23.86</v>
      </c>
      <c r="E10" s="5" t="str">
        <f>LEFT(H10,6)</f>
        <v>31.124</v>
      </c>
      <c r="F10" s="6" t="str">
        <f>LEFT(I10,8)</f>
        <v>-103.380</v>
      </c>
      <c r="G10" s="6"/>
      <c r="H10" s="6" t="str">
        <f>LEFT(K10,9)</f>
        <v>31.124585</v>
      </c>
      <c r="I10" s="6" t="str">
        <f>RIGHT(K10,11)</f>
        <v>-103.380329</v>
      </c>
      <c r="J10" s="6"/>
      <c r="K10" s="7" t="s">
        <v>250</v>
      </c>
      <c r="N10" t="s">
        <v>159</v>
      </c>
      <c r="O10">
        <v>2792.39</v>
      </c>
      <c r="P10">
        <v>2854.83</v>
      </c>
      <c r="Q10">
        <v>27.05</v>
      </c>
    </row>
    <row r="11" spans="1:17" x14ac:dyDescent="0.25">
      <c r="A11" t="s">
        <v>160</v>
      </c>
      <c r="B11">
        <v>2799.3</v>
      </c>
      <c r="C11">
        <v>34.79</v>
      </c>
      <c r="E11" s="5" t="str">
        <f>LEFT(H11,6)</f>
        <v>31.121</v>
      </c>
      <c r="F11" s="6" t="str">
        <f>LEFT(I11,8)</f>
        <v>-103.383</v>
      </c>
      <c r="G11" s="6"/>
      <c r="H11" s="6" t="str">
        <f>LEFT(K11,9)</f>
        <v>31.121140</v>
      </c>
      <c r="I11" s="6" t="str">
        <f>RIGHT(K11,11)</f>
        <v>-103.383535</v>
      </c>
      <c r="J11" s="6"/>
      <c r="K11" s="7" t="s">
        <v>246</v>
      </c>
      <c r="N11" t="s">
        <v>160</v>
      </c>
      <c r="O11">
        <v>2799.3</v>
      </c>
      <c r="P11">
        <v>2886.05</v>
      </c>
      <c r="Q11">
        <v>37.590000000000003</v>
      </c>
    </row>
    <row r="12" spans="1:17" x14ac:dyDescent="0.25">
      <c r="A12" t="s">
        <v>161</v>
      </c>
      <c r="B12">
        <v>2801.93</v>
      </c>
      <c r="C12">
        <v>36.11</v>
      </c>
      <c r="E12" s="5" t="str">
        <f>LEFT(H12,6)</f>
        <v>31.120</v>
      </c>
      <c r="F12" s="6" t="str">
        <f>LEFT(I12,8)</f>
        <v>-103.384</v>
      </c>
      <c r="G12" s="6"/>
      <c r="H12" s="6" t="str">
        <f>LEFT(K12,9)</f>
        <v>31.120055</v>
      </c>
      <c r="I12" s="6" t="str">
        <f>RIGHT(K12,11)</f>
        <v>-103.384876</v>
      </c>
      <c r="J12" s="6"/>
      <c r="K12" s="7" t="s">
        <v>245</v>
      </c>
      <c r="N12" t="s">
        <v>161</v>
      </c>
      <c r="O12">
        <v>2801.93</v>
      </c>
      <c r="P12">
        <v>2891.57</v>
      </c>
      <c r="Q12">
        <v>38.840000000000003</v>
      </c>
    </row>
    <row r="13" spans="1:17" x14ac:dyDescent="0.25">
      <c r="A13" t="s">
        <v>162</v>
      </c>
      <c r="B13">
        <v>2805.21</v>
      </c>
      <c r="C13">
        <v>36.68</v>
      </c>
      <c r="E13" s="5" t="str">
        <f>LEFT(H13,6)</f>
        <v>31.122</v>
      </c>
      <c r="F13" s="6" t="str">
        <f>LEFT(I13,8)</f>
        <v>-103.387</v>
      </c>
      <c r="G13" s="6"/>
      <c r="H13" s="6" t="str">
        <f>LEFT(K13,9)</f>
        <v>31.122416</v>
      </c>
      <c r="I13" s="6" t="str">
        <f>RIGHT(K13,11)</f>
        <v>-103.387933</v>
      </c>
      <c r="J13" s="6"/>
      <c r="K13" s="7" t="s">
        <v>244</v>
      </c>
      <c r="N13" t="s">
        <v>162</v>
      </c>
      <c r="O13">
        <v>2805.21</v>
      </c>
      <c r="P13">
        <v>2896.04</v>
      </c>
      <c r="Q13">
        <v>39.36</v>
      </c>
    </row>
    <row r="14" spans="1:17" x14ac:dyDescent="0.25">
      <c r="A14" t="s">
        <v>163</v>
      </c>
      <c r="B14">
        <v>2798.89</v>
      </c>
      <c r="C14">
        <v>22.08</v>
      </c>
      <c r="E14" s="5" t="str">
        <f>LEFT(H14,6)</f>
        <v>31.124</v>
      </c>
      <c r="F14" s="6" t="str">
        <f>LEFT(I14,8)</f>
        <v>-103.377</v>
      </c>
      <c r="G14" s="6"/>
      <c r="H14" s="6" t="str">
        <f>LEFT(K14,9)</f>
        <v>31.124139</v>
      </c>
      <c r="I14" s="6" t="str">
        <f>RIGHT(K14,11)</f>
        <v>-103.377571</v>
      </c>
      <c r="J14" s="6"/>
      <c r="K14" s="7" t="s">
        <v>248</v>
      </c>
      <c r="N14" t="s">
        <v>163</v>
      </c>
      <c r="O14">
        <v>2798.89</v>
      </c>
      <c r="P14">
        <v>2857.14</v>
      </c>
      <c r="Q14">
        <v>25.24</v>
      </c>
    </row>
    <row r="15" spans="1:17" x14ac:dyDescent="0.25">
      <c r="A15" t="s">
        <v>164</v>
      </c>
      <c r="B15">
        <v>2796.07</v>
      </c>
      <c r="C15">
        <v>24.18</v>
      </c>
      <c r="E15" s="5" t="str">
        <f>LEFT(H15,6)</f>
        <v>31.126</v>
      </c>
      <c r="F15" s="6" t="str">
        <f>LEFT(I15,8)</f>
        <v>-103.382</v>
      </c>
      <c r="G15" s="6"/>
      <c r="H15" s="6" t="str">
        <f>LEFT(K15,9)</f>
        <v>31.126755</v>
      </c>
      <c r="I15" s="6" t="str">
        <f>RIGHT(K15,11)</f>
        <v>-103.382640</v>
      </c>
      <c r="J15" s="6"/>
      <c r="K15" s="7" t="s">
        <v>251</v>
      </c>
      <c r="N15" t="s">
        <v>164</v>
      </c>
      <c r="O15">
        <v>2796.07</v>
      </c>
      <c r="P15">
        <v>2859.09</v>
      </c>
      <c r="Q15">
        <v>27.31</v>
      </c>
    </row>
    <row r="16" spans="1:17" x14ac:dyDescent="0.25">
      <c r="A16" t="s">
        <v>165</v>
      </c>
      <c r="B16">
        <v>2804.19</v>
      </c>
      <c r="C16">
        <v>41.45</v>
      </c>
      <c r="E16" s="5" t="str">
        <f>LEFT(H16,6)</f>
        <v>31.123</v>
      </c>
      <c r="F16" s="6" t="str">
        <f>LEFT(I16,8)</f>
        <v>-103.368</v>
      </c>
      <c r="G16" s="6"/>
      <c r="H16" s="6" t="str">
        <f>LEFT(K16,9)</f>
        <v>31.123373</v>
      </c>
      <c r="I16" s="6" t="str">
        <f>RIGHT(K16,11)</f>
        <v>-103.368104</v>
      </c>
      <c r="J16" s="6"/>
      <c r="K16" s="7" t="s">
        <v>260</v>
      </c>
      <c r="N16" t="s">
        <v>165</v>
      </c>
      <c r="O16">
        <v>2804.19</v>
      </c>
      <c r="P16">
        <v>2905.82</v>
      </c>
      <c r="Q16">
        <v>44.04</v>
      </c>
    </row>
    <row r="17" spans="1:17" x14ac:dyDescent="0.25">
      <c r="A17" t="s">
        <v>166</v>
      </c>
      <c r="B17">
        <v>2806.95</v>
      </c>
      <c r="C17">
        <v>48.48</v>
      </c>
      <c r="E17" s="5" t="str">
        <f>LEFT(H17,6)</f>
        <v>31.121</v>
      </c>
      <c r="F17" s="6" t="str">
        <f>LEFT(I17,8)</f>
        <v>-103.361</v>
      </c>
      <c r="G17" s="6"/>
      <c r="H17" s="6" t="str">
        <f>LEFT(K17,9)</f>
        <v>31.121522</v>
      </c>
      <c r="I17" s="6" t="str">
        <f>RIGHT(K17,11)</f>
        <v>-103.361768</v>
      </c>
      <c r="J17" s="6"/>
      <c r="K17" s="7" t="s">
        <v>263</v>
      </c>
      <c r="N17" t="s">
        <v>166</v>
      </c>
      <c r="O17">
        <v>2806.95</v>
      </c>
      <c r="P17">
        <v>2924.3</v>
      </c>
      <c r="Q17">
        <v>50.85</v>
      </c>
    </row>
    <row r="18" spans="1:17" x14ac:dyDescent="0.25">
      <c r="A18" t="s">
        <v>167</v>
      </c>
      <c r="B18">
        <v>2813.46</v>
      </c>
      <c r="C18">
        <v>55.46</v>
      </c>
      <c r="E18" s="5" t="str">
        <f>LEFT(H18,6)</f>
        <v>31.119</v>
      </c>
      <c r="F18" s="6" t="str">
        <f>LEFT(I18,8)</f>
        <v>-103.356</v>
      </c>
      <c r="G18" s="6"/>
      <c r="H18" s="6" t="str">
        <f>LEFT(K18,9)</f>
        <v>31.119544</v>
      </c>
      <c r="I18" s="6" t="str">
        <f>RIGHT(K18,11)</f>
        <v>-103.356699</v>
      </c>
      <c r="J18" s="6"/>
      <c r="K18" s="7" t="s">
        <v>265</v>
      </c>
      <c r="N18" t="s">
        <v>167</v>
      </c>
      <c r="O18">
        <v>2813.46</v>
      </c>
      <c r="P18">
        <v>2946.28</v>
      </c>
      <c r="Q18">
        <v>57.55</v>
      </c>
    </row>
    <row r="19" spans="1:17" x14ac:dyDescent="0.25">
      <c r="A19" t="s">
        <v>168</v>
      </c>
      <c r="B19">
        <v>2802.59</v>
      </c>
      <c r="C19">
        <v>59.02</v>
      </c>
      <c r="E19" s="5" t="str">
        <f>LEFT(H19,6)</f>
        <v>31.126</v>
      </c>
      <c r="F19" s="6" t="str">
        <f>LEFT(I19,8)</f>
        <v>-103.356</v>
      </c>
      <c r="G19" s="6"/>
      <c r="H19" s="6" t="str">
        <f>LEFT(K19,9)</f>
        <v>31.126564</v>
      </c>
      <c r="I19" s="6" t="str">
        <f>RIGHT(K19,11)</f>
        <v>-103.356476</v>
      </c>
      <c r="J19" s="6"/>
      <c r="K19" s="7" t="s">
        <v>270</v>
      </c>
      <c r="N19" t="s">
        <v>168</v>
      </c>
      <c r="O19">
        <v>2802.59</v>
      </c>
      <c r="P19">
        <v>2943.72</v>
      </c>
      <c r="Q19">
        <v>61.15</v>
      </c>
    </row>
    <row r="20" spans="1:17" x14ac:dyDescent="0.25">
      <c r="A20" t="s">
        <v>169</v>
      </c>
      <c r="B20">
        <v>2820.27</v>
      </c>
      <c r="C20">
        <v>54.73</v>
      </c>
      <c r="E20" s="5" t="str">
        <f>LEFT(H20,6)</f>
        <v>31.113</v>
      </c>
      <c r="F20" s="6" t="str">
        <f>LEFT(I20,8)</f>
        <v>-103.357</v>
      </c>
      <c r="G20" s="6"/>
      <c r="H20" s="6" t="str">
        <f>LEFT(K20,9)</f>
        <v>31.113737</v>
      </c>
      <c r="I20" s="6" t="str">
        <f>RIGHT(K20,11)</f>
        <v>-103.357445</v>
      </c>
      <c r="J20" s="6"/>
      <c r="K20" s="7" t="s">
        <v>268</v>
      </c>
      <c r="N20" t="s">
        <v>169</v>
      </c>
      <c r="O20">
        <v>2820.27</v>
      </c>
      <c r="P20">
        <v>2951.23</v>
      </c>
      <c r="Q20">
        <v>56.74</v>
      </c>
    </row>
    <row r="21" spans="1:17" x14ac:dyDescent="0.25">
      <c r="A21" t="s">
        <v>170</v>
      </c>
      <c r="B21">
        <v>2812.2</v>
      </c>
      <c r="C21">
        <v>52.44</v>
      </c>
      <c r="E21" s="5" t="str">
        <f>LEFT(H21,6)</f>
        <v>31.120</v>
      </c>
      <c r="F21" s="6" t="str">
        <f>LEFT(I21,8)</f>
        <v>-103.359</v>
      </c>
      <c r="G21" s="6"/>
      <c r="H21" s="6" t="str">
        <f>LEFT(K21,9)</f>
        <v>31.120310</v>
      </c>
      <c r="I21" s="6" t="str">
        <f>RIGHT(K21,11)</f>
        <v>-103.359532</v>
      </c>
      <c r="J21" s="6"/>
      <c r="K21" s="7" t="s">
        <v>264</v>
      </c>
      <c r="N21" t="s">
        <v>170</v>
      </c>
      <c r="O21">
        <v>2812.2</v>
      </c>
      <c r="P21">
        <v>2938.28</v>
      </c>
      <c r="Q21">
        <v>54.63</v>
      </c>
    </row>
    <row r="22" spans="1:17" x14ac:dyDescent="0.25">
      <c r="A22" t="s">
        <v>171</v>
      </c>
      <c r="B22">
        <v>2806.2</v>
      </c>
      <c r="C22">
        <v>44.21</v>
      </c>
      <c r="E22" s="5" t="str">
        <f>LEFT(H22,6)</f>
        <v>31.122</v>
      </c>
      <c r="F22" s="6" t="str">
        <f>LEFT(I22,8)</f>
        <v>-103.366</v>
      </c>
      <c r="G22" s="6"/>
      <c r="H22" s="6" t="str">
        <f>LEFT(K22,9)</f>
        <v>31.122863</v>
      </c>
      <c r="I22" s="6" t="str">
        <f>RIGHT(K22,11)</f>
        <v>-103.366017</v>
      </c>
      <c r="J22" s="6"/>
      <c r="K22" s="7" t="s">
        <v>261</v>
      </c>
      <c r="N22" t="s">
        <v>171</v>
      </c>
      <c r="O22">
        <v>2806.2</v>
      </c>
      <c r="P22">
        <v>2913.97</v>
      </c>
      <c r="Q22">
        <v>46.7</v>
      </c>
    </row>
    <row r="23" spans="1:17" x14ac:dyDescent="0.25">
      <c r="A23" t="s">
        <v>172</v>
      </c>
      <c r="B23">
        <v>2810.37</v>
      </c>
      <c r="C23">
        <v>44.66</v>
      </c>
      <c r="E23" s="5" t="str">
        <f>LEFT(H23,6)</f>
        <v>31.117</v>
      </c>
      <c r="F23" s="6" t="str">
        <f>LEFT(I23,8)</f>
        <v>-103.368</v>
      </c>
      <c r="G23" s="6"/>
      <c r="H23" s="6" t="str">
        <f>LEFT(K23,9)</f>
        <v>31.117247</v>
      </c>
      <c r="I23" s="6" t="str">
        <f>RIGHT(K23,11)</f>
        <v>-103.368104</v>
      </c>
      <c r="J23" s="6"/>
      <c r="K23" s="7" t="s">
        <v>262</v>
      </c>
      <c r="N23" t="s">
        <v>172</v>
      </c>
      <c r="O23">
        <v>2810.37</v>
      </c>
      <c r="P23">
        <v>2919.05</v>
      </c>
      <c r="Q23">
        <v>47.09</v>
      </c>
    </row>
    <row r="24" spans="1:17" x14ac:dyDescent="0.25">
      <c r="A24" t="s">
        <v>173</v>
      </c>
      <c r="B24">
        <v>2599</v>
      </c>
      <c r="C24">
        <v>14.63</v>
      </c>
      <c r="E24" s="5" t="str">
        <f>LEFT(H24,6)</f>
        <v>31.386</v>
      </c>
      <c r="F24" s="6" t="str">
        <f>LEFT(I24,8)</f>
        <v>-103.504</v>
      </c>
      <c r="G24" s="6"/>
      <c r="H24" s="6" t="str">
        <f>LEFT(K24,8)</f>
        <v>31.38660</v>
      </c>
      <c r="I24" s="6" t="str">
        <f>RIGHT(K24,10)</f>
        <v>-103.50486</v>
      </c>
      <c r="J24" s="6"/>
      <c r="K24" s="7" t="s">
        <v>238</v>
      </c>
      <c r="N24" t="s">
        <v>173</v>
      </c>
      <c r="O24">
        <v>2599</v>
      </c>
      <c r="P24">
        <v>2618.17</v>
      </c>
      <c r="Q24">
        <v>8.31</v>
      </c>
    </row>
    <row r="25" spans="1:17" x14ac:dyDescent="0.25">
      <c r="A25" t="s">
        <v>174</v>
      </c>
      <c r="B25">
        <v>2590</v>
      </c>
      <c r="C25">
        <v>21.63</v>
      </c>
      <c r="E25" s="5" t="str">
        <f>LEFT(H25,6)</f>
        <v>31.383</v>
      </c>
      <c r="F25" s="6" t="str">
        <f>LEFT(I25,8)</f>
        <v>-103.490</v>
      </c>
      <c r="G25" s="6"/>
      <c r="H25" s="6" t="str">
        <f>LEFT(K25,8)</f>
        <v>31.38396</v>
      </c>
      <c r="I25" s="6" t="str">
        <f>RIGHT(K25,10)</f>
        <v>-103.49074</v>
      </c>
      <c r="J25" s="6"/>
      <c r="K25" s="7" t="s">
        <v>237</v>
      </c>
      <c r="N25" t="s">
        <v>174</v>
      </c>
      <c r="O25">
        <v>2590</v>
      </c>
      <c r="P25">
        <v>2625.9</v>
      </c>
      <c r="Q25">
        <v>15.56</v>
      </c>
    </row>
    <row r="26" spans="1:17" x14ac:dyDescent="0.25">
      <c r="A26" t="s">
        <v>175</v>
      </c>
      <c r="B26">
        <v>2590</v>
      </c>
      <c r="C26">
        <v>22.25</v>
      </c>
      <c r="E26" s="5" t="str">
        <f>LEFT(H26,6)</f>
        <v>31.386</v>
      </c>
      <c r="F26" s="6" t="str">
        <f>LEFT(I26,8)</f>
        <v>-103.490</v>
      </c>
      <c r="G26" s="6"/>
      <c r="H26" s="6" t="str">
        <f>LEFT(K26,8)</f>
        <v>31.38669</v>
      </c>
      <c r="I26" s="6" t="str">
        <f>RIGHT(K26,10)</f>
        <v>-103.49036</v>
      </c>
      <c r="J26" s="6"/>
      <c r="K26" s="7" t="s">
        <v>236</v>
      </c>
      <c r="N26" t="s">
        <v>175</v>
      </c>
      <c r="O26">
        <v>2590</v>
      </c>
      <c r="P26">
        <v>2627.46</v>
      </c>
      <c r="Q26">
        <v>16.23</v>
      </c>
    </row>
    <row r="27" spans="1:17" x14ac:dyDescent="0.25">
      <c r="A27" t="s">
        <v>176</v>
      </c>
      <c r="B27">
        <v>2572</v>
      </c>
      <c r="C27">
        <v>34.869999999999997</v>
      </c>
      <c r="E27" s="5" t="str">
        <f>LEFT(H27,6)</f>
        <v>31.383</v>
      </c>
      <c r="F27" s="6" t="str">
        <f>LEFT(I27,8)</f>
        <v>-103.468</v>
      </c>
      <c r="G27" s="6"/>
      <c r="H27" s="6" t="str">
        <f>LEFT(K27,8)</f>
        <v>31.38387</v>
      </c>
      <c r="I27" s="6" t="str">
        <f>RIGHT(K27,10)</f>
        <v>-103.46831</v>
      </c>
      <c r="J27" s="6"/>
      <c r="K27" s="7" t="s">
        <v>233</v>
      </c>
      <c r="N27" t="s">
        <v>176</v>
      </c>
      <c r="O27">
        <v>2572</v>
      </c>
      <c r="P27">
        <v>2639.5</v>
      </c>
      <c r="Q27">
        <v>29.25</v>
      </c>
    </row>
    <row r="28" spans="1:17" x14ac:dyDescent="0.25">
      <c r="A28" t="s">
        <v>177</v>
      </c>
      <c r="B28">
        <v>2567</v>
      </c>
      <c r="C28">
        <v>47.05</v>
      </c>
      <c r="E28" s="5" t="str">
        <f>LEFT(H28,6)</f>
        <v>31.348</v>
      </c>
      <c r="F28" s="6" t="str">
        <f>LEFT(I28,8)</f>
        <v>-103.437</v>
      </c>
      <c r="G28" s="6"/>
      <c r="H28" s="6" t="str">
        <f>LEFT(K28,8)</f>
        <v>31.34894</v>
      </c>
      <c r="I28" s="6" t="str">
        <f>RIGHT(K28,10)</f>
        <v>-103.43765</v>
      </c>
      <c r="J28" s="6"/>
      <c r="K28" s="7" t="s">
        <v>232</v>
      </c>
      <c r="N28" t="s">
        <v>177</v>
      </c>
      <c r="O28">
        <v>2567</v>
      </c>
      <c r="P28">
        <v>2664.49</v>
      </c>
      <c r="Q28">
        <v>42.24</v>
      </c>
    </row>
    <row r="29" spans="1:17" x14ac:dyDescent="0.25">
      <c r="A29" t="s">
        <v>178</v>
      </c>
      <c r="B29">
        <v>2572</v>
      </c>
      <c r="C29">
        <v>55.16</v>
      </c>
      <c r="E29" s="5" t="str">
        <f>LEFT(H29,6)</f>
        <v>31.316</v>
      </c>
      <c r="F29" s="6" t="str">
        <f>LEFT(I29,8)</f>
        <v>-103.424</v>
      </c>
      <c r="G29" s="6"/>
      <c r="H29" s="6" t="str">
        <f>LEFT(K29,8)</f>
        <v>31.31636</v>
      </c>
      <c r="I29" s="6" t="str">
        <f>RIGHT(K29,10)</f>
        <v>-103.42441</v>
      </c>
      <c r="J29" s="6"/>
      <c r="K29" s="7" t="s">
        <v>228</v>
      </c>
      <c r="N29" t="s">
        <v>178</v>
      </c>
      <c r="O29">
        <v>2572</v>
      </c>
      <c r="P29">
        <v>2690.14</v>
      </c>
      <c r="Q29">
        <v>51.19</v>
      </c>
    </row>
    <row r="30" spans="1:17" x14ac:dyDescent="0.25">
      <c r="A30" t="s">
        <v>179</v>
      </c>
      <c r="B30">
        <v>2628</v>
      </c>
      <c r="C30">
        <v>44.48</v>
      </c>
      <c r="E30" s="5" t="str">
        <f>LEFT(H30,6)</f>
        <v>31.276</v>
      </c>
      <c r="F30" s="6" t="str">
        <f>LEFT(I30,8)</f>
        <v>-103.381</v>
      </c>
      <c r="G30" s="6"/>
      <c r="H30" s="6" t="str">
        <f>LEFT(K30,8)</f>
        <v>31.27691</v>
      </c>
      <c r="I30" s="6" t="str">
        <f>RIGHT(K30,10)</f>
        <v>-103.38167</v>
      </c>
      <c r="J30" s="6"/>
      <c r="K30" s="7" t="s">
        <v>216</v>
      </c>
      <c r="N30" t="s">
        <v>179</v>
      </c>
      <c r="O30">
        <v>2628</v>
      </c>
      <c r="P30">
        <v>2724.05</v>
      </c>
      <c r="Q30">
        <v>41.62</v>
      </c>
    </row>
    <row r="31" spans="1:17" x14ac:dyDescent="0.25">
      <c r="A31" t="s">
        <v>180</v>
      </c>
      <c r="B31">
        <v>2634</v>
      </c>
      <c r="C31">
        <v>44.57</v>
      </c>
      <c r="E31" s="5" t="str">
        <f>LEFT(H31,6)</f>
        <v>31.266</v>
      </c>
      <c r="F31" s="6" t="str">
        <f>LEFT(I31,8)</f>
        <v>-103.381</v>
      </c>
      <c r="G31" s="6"/>
      <c r="H31" s="6" t="str">
        <f>LEFT(K31,8)</f>
        <v>31.26616</v>
      </c>
      <c r="I31" s="6" t="str">
        <f>RIGHT(K31,10)</f>
        <v>-103.38155</v>
      </c>
      <c r="J31" s="6"/>
      <c r="K31" s="7" t="s">
        <v>215</v>
      </c>
      <c r="N31" t="s">
        <v>180</v>
      </c>
      <c r="O31">
        <v>2634</v>
      </c>
      <c r="P31">
        <v>2730.78</v>
      </c>
      <c r="Q31">
        <v>41.93</v>
      </c>
    </row>
    <row r="32" spans="1:17" x14ac:dyDescent="0.25">
      <c r="A32" t="s">
        <v>181</v>
      </c>
      <c r="B32">
        <v>2658</v>
      </c>
      <c r="C32">
        <v>36.979999999999997</v>
      </c>
      <c r="E32" s="5" t="str">
        <f>LEFT(H32,6)</f>
        <v>31.258</v>
      </c>
      <c r="F32" s="6" t="str">
        <f>LEFT(I32,8)</f>
        <v>-103.372</v>
      </c>
      <c r="G32" s="6"/>
      <c r="H32" s="6" t="str">
        <f>LEFT(K32,8)</f>
        <v>31.25874</v>
      </c>
      <c r="I32" s="6" t="str">
        <f>RIGHT(K32,10)</f>
        <v>-103.37241</v>
      </c>
      <c r="J32" s="6"/>
      <c r="K32" s="7" t="s">
        <v>214</v>
      </c>
      <c r="N32" t="s">
        <v>181</v>
      </c>
      <c r="O32">
        <v>2658</v>
      </c>
      <c r="P32">
        <v>2737.77</v>
      </c>
      <c r="Q32">
        <v>34.56</v>
      </c>
    </row>
    <row r="33" spans="1:17" x14ac:dyDescent="0.25">
      <c r="A33" t="s">
        <v>182</v>
      </c>
      <c r="B33">
        <v>2770</v>
      </c>
      <c r="C33">
        <v>5.0199999999999996</v>
      </c>
      <c r="E33" s="5" t="str">
        <f>LEFT(H33,6)</f>
        <v>31.179</v>
      </c>
      <c r="F33" s="6" t="str">
        <f>LEFT(I33,8)</f>
        <v>-103.372</v>
      </c>
      <c r="G33" s="6"/>
      <c r="H33" s="6" t="str">
        <f>LEFT(K33,8)</f>
        <v>31.17947</v>
      </c>
      <c r="I33" s="6" t="str">
        <f>RIGHT(K33,10)</f>
        <v>-103.37287</v>
      </c>
      <c r="J33" s="6"/>
      <c r="K33" s="7" t="s">
        <v>219</v>
      </c>
      <c r="N33" t="s">
        <v>182</v>
      </c>
      <c r="O33">
        <v>2770</v>
      </c>
      <c r="P33">
        <v>2779.14</v>
      </c>
      <c r="Q33">
        <v>3.96</v>
      </c>
    </row>
    <row r="34" spans="1:17" x14ac:dyDescent="0.25">
      <c r="A34" t="s">
        <v>183</v>
      </c>
      <c r="B34">
        <v>2770</v>
      </c>
      <c r="C34">
        <v>6.43</v>
      </c>
      <c r="E34" s="5" t="str">
        <f>LEFT(H34,6)</f>
        <v>31.174</v>
      </c>
      <c r="F34" s="6" t="str">
        <f>LEFT(I34,8)</f>
        <v>-103.373</v>
      </c>
      <c r="G34" s="6"/>
      <c r="H34" s="6" t="str">
        <f>LEFT(K34,8)</f>
        <v>31.17498</v>
      </c>
      <c r="I34" s="6" t="str">
        <f>RIGHT(K34,10)</f>
        <v>-103.37321</v>
      </c>
      <c r="J34" s="6"/>
      <c r="K34" s="7" t="s">
        <v>221</v>
      </c>
      <c r="N34" t="s">
        <v>183</v>
      </c>
      <c r="O34">
        <v>2770</v>
      </c>
      <c r="P34">
        <v>2782.65</v>
      </c>
      <c r="Q34">
        <v>5.48</v>
      </c>
    </row>
    <row r="35" spans="1:17" x14ac:dyDescent="0.25">
      <c r="A35" t="s">
        <v>184</v>
      </c>
      <c r="B35">
        <v>2735</v>
      </c>
      <c r="C35">
        <v>11.14</v>
      </c>
      <c r="E35" s="5" t="str">
        <f>LEFT(H35,6)</f>
        <v>31.204</v>
      </c>
      <c r="F35" s="6" t="str">
        <f>LEFT(I35,8)</f>
        <v>-103.372</v>
      </c>
      <c r="G35" s="6"/>
      <c r="H35" s="6" t="str">
        <f>LEFT(K35,8)</f>
        <v>31.20499</v>
      </c>
      <c r="I35" s="6" t="str">
        <f>RIGHT(K35,10)</f>
        <v>-103.37287</v>
      </c>
      <c r="J35" s="6"/>
      <c r="K35" s="7" t="s">
        <v>218</v>
      </c>
      <c r="N35" t="s">
        <v>184</v>
      </c>
      <c r="O35">
        <v>2735</v>
      </c>
      <c r="P35">
        <v>2756.56</v>
      </c>
      <c r="Q35">
        <v>9.34</v>
      </c>
    </row>
    <row r="36" spans="1:17" x14ac:dyDescent="0.25">
      <c r="A36" t="s">
        <v>185</v>
      </c>
      <c r="B36">
        <v>2780</v>
      </c>
      <c r="C36">
        <v>7.98</v>
      </c>
      <c r="E36" s="5" t="str">
        <f>LEFT(H36,6)</f>
        <v>31.160</v>
      </c>
      <c r="F36" s="6" t="str">
        <f>LEFT(I36,8)</f>
        <v>-103.373</v>
      </c>
      <c r="G36" s="6"/>
      <c r="H36" s="6" t="str">
        <f>LEFT(K36,8)</f>
        <v>31.16099</v>
      </c>
      <c r="I36" s="6" t="str">
        <f>RIGHT(K36,10)</f>
        <v>-103.37332</v>
      </c>
      <c r="J36" s="6"/>
      <c r="K36" s="7" t="s">
        <v>222</v>
      </c>
      <c r="N36" t="s">
        <v>185</v>
      </c>
      <c r="O36">
        <v>2780</v>
      </c>
      <c r="P36">
        <v>2797.36</v>
      </c>
      <c r="Q36">
        <v>7.52</v>
      </c>
    </row>
    <row r="37" spans="1:17" x14ac:dyDescent="0.25">
      <c r="A37" t="s">
        <v>186</v>
      </c>
      <c r="B37">
        <v>2680</v>
      </c>
      <c r="C37">
        <v>31.09</v>
      </c>
      <c r="E37" s="5" t="str">
        <f>LEFT(H37,6)</f>
        <v>31.229</v>
      </c>
      <c r="F37" s="6" t="str">
        <f>LEFT(I37,8)</f>
        <v>-103.372</v>
      </c>
      <c r="G37" s="6"/>
      <c r="H37" s="6" t="str">
        <f>LEFT(K37,8)</f>
        <v>31.22982</v>
      </c>
      <c r="I37" s="6" t="str">
        <f>RIGHT(K37,10)</f>
        <v>-103.37275</v>
      </c>
      <c r="J37" s="6"/>
      <c r="K37" s="7" t="s">
        <v>217</v>
      </c>
      <c r="N37" t="s">
        <v>186</v>
      </c>
      <c r="O37">
        <v>2680</v>
      </c>
      <c r="P37">
        <v>2746.88</v>
      </c>
      <c r="Q37">
        <v>28.98</v>
      </c>
    </row>
    <row r="38" spans="1:17" x14ac:dyDescent="0.25">
      <c r="A38" t="s">
        <v>187</v>
      </c>
      <c r="B38">
        <v>2793</v>
      </c>
      <c r="C38">
        <v>5.49</v>
      </c>
      <c r="E38" s="5" t="str">
        <f>LEFT(H38,6)</f>
        <v>31.141</v>
      </c>
      <c r="F38" s="6" t="str">
        <f>LEFT(I38,8)</f>
        <v>-103.373</v>
      </c>
      <c r="G38" s="6"/>
      <c r="H38" s="6" t="str">
        <f>LEFT(K38,8)</f>
        <v>31.14124</v>
      </c>
      <c r="I38" s="6" t="str">
        <f>RIGHT(K38,10)</f>
        <v>-103.37367</v>
      </c>
      <c r="J38" s="6"/>
      <c r="K38" s="7" t="s">
        <v>224</v>
      </c>
      <c r="N38" t="s">
        <v>187</v>
      </c>
      <c r="O38">
        <v>2793</v>
      </c>
      <c r="P38">
        <v>2805.2</v>
      </c>
      <c r="Q38">
        <v>5.29</v>
      </c>
    </row>
    <row r="39" spans="1:17" x14ac:dyDescent="0.25">
      <c r="A39" t="s">
        <v>188</v>
      </c>
      <c r="B39">
        <v>2794</v>
      </c>
      <c r="C39">
        <v>4.57</v>
      </c>
      <c r="E39" s="5" t="str">
        <f>LEFT(H39,6)</f>
        <v>31.144</v>
      </c>
      <c r="F39" s="6" t="str">
        <f>LEFT(I39,8)</f>
        <v>-103.373</v>
      </c>
      <c r="G39" s="6"/>
      <c r="H39" s="6" t="str">
        <f>LEFT(K39,8)</f>
        <v>31.14437</v>
      </c>
      <c r="I39" s="6" t="str">
        <f>RIGHT(K39,10)</f>
        <v>-103.37367</v>
      </c>
      <c r="J39" s="6"/>
      <c r="K39" s="7" t="s">
        <v>223</v>
      </c>
      <c r="N39" t="s">
        <v>188</v>
      </c>
      <c r="O39">
        <v>2794</v>
      </c>
      <c r="P39">
        <v>2803.97</v>
      </c>
      <c r="Q39">
        <v>4.32</v>
      </c>
    </row>
    <row r="40" spans="1:17" x14ac:dyDescent="0.25">
      <c r="A40" t="s">
        <v>189</v>
      </c>
      <c r="B40">
        <v>2771</v>
      </c>
      <c r="C40">
        <v>5.54</v>
      </c>
      <c r="E40" s="5" t="str">
        <f>LEFT(H40,6)</f>
        <v>31.176</v>
      </c>
      <c r="F40" s="6" t="str">
        <f>LEFT(I40,8)</f>
        <v>-103.375</v>
      </c>
      <c r="G40" s="6"/>
      <c r="H40" s="6" t="str">
        <f>LEFT(K40,8)</f>
        <v>31.17615</v>
      </c>
      <c r="I40" s="6" t="str">
        <f>RIGHT(K40,10)</f>
        <v>-103.37515</v>
      </c>
      <c r="J40" s="6"/>
      <c r="K40" s="7" t="s">
        <v>220</v>
      </c>
      <c r="N40" t="s">
        <v>189</v>
      </c>
      <c r="O40">
        <v>2771</v>
      </c>
      <c r="P40">
        <v>2781.51</v>
      </c>
      <c r="Q40">
        <v>4.55</v>
      </c>
    </row>
    <row r="41" spans="1:17" x14ac:dyDescent="0.25">
      <c r="A41" t="s">
        <v>190</v>
      </c>
      <c r="B41">
        <v>2565</v>
      </c>
      <c r="C41">
        <v>56.89</v>
      </c>
      <c r="E41" s="5" t="str">
        <f>LEFT(H41,6)</f>
        <v>31.321</v>
      </c>
      <c r="F41" s="6" t="str">
        <f>LEFT(I41,8)</f>
        <v>-103.427</v>
      </c>
      <c r="G41" s="6"/>
      <c r="H41" s="6" t="str">
        <f>LEFT(K41,8)</f>
        <v>31.32163</v>
      </c>
      <c r="I41" s="6" t="str">
        <f>RIGHT(K41,10)</f>
        <v>-103.42740</v>
      </c>
      <c r="J41" s="6"/>
      <c r="K41" s="7" t="s">
        <v>231</v>
      </c>
      <c r="N41" t="s">
        <v>190</v>
      </c>
      <c r="O41">
        <v>2565</v>
      </c>
      <c r="P41">
        <v>2686.88</v>
      </c>
      <c r="Q41">
        <v>52.81</v>
      </c>
    </row>
    <row r="42" spans="1:17" x14ac:dyDescent="0.25">
      <c r="A42" t="s">
        <v>191</v>
      </c>
      <c r="B42">
        <v>2571</v>
      </c>
      <c r="C42">
        <v>34.130000000000003</v>
      </c>
      <c r="E42" s="5" t="str">
        <f>LEFT(H42,6)</f>
        <v>31.384</v>
      </c>
      <c r="F42" s="6" t="str">
        <f>LEFT(I42,8)</f>
        <v>-103.473</v>
      </c>
      <c r="G42" s="6"/>
      <c r="H42" s="6" t="str">
        <f>LEFT(K42,8)</f>
        <v>31.38481</v>
      </c>
      <c r="I42" s="6" t="str">
        <f>RIGHT(K42,10)</f>
        <v>-103.47349</v>
      </c>
      <c r="J42" s="6"/>
      <c r="K42" s="7" t="s">
        <v>234</v>
      </c>
      <c r="N42" t="s">
        <v>191</v>
      </c>
      <c r="O42">
        <v>2571</v>
      </c>
      <c r="P42">
        <v>2636.57</v>
      </c>
      <c r="Q42">
        <v>28.41</v>
      </c>
    </row>
    <row r="43" spans="1:17" x14ac:dyDescent="0.25">
      <c r="A43" t="s">
        <v>192</v>
      </c>
      <c r="B43">
        <v>2581</v>
      </c>
      <c r="C43">
        <v>27.96</v>
      </c>
      <c r="E43" s="5" t="str">
        <f>LEFT(H43,6)</f>
        <v>31.385</v>
      </c>
      <c r="F43" s="6" t="str">
        <f>LEFT(I43,8)</f>
        <v>-103.482</v>
      </c>
      <c r="G43" s="6"/>
      <c r="H43" s="6" t="str">
        <f>LEFT(K43,8)</f>
        <v>31.38509</v>
      </c>
      <c r="I43" s="6" t="str">
        <f>RIGHT(K43,10)</f>
        <v>-103.48242</v>
      </c>
      <c r="J43" s="6"/>
      <c r="K43" s="7" t="s">
        <v>235</v>
      </c>
      <c r="N43" t="s">
        <v>192</v>
      </c>
      <c r="O43">
        <v>2581</v>
      </c>
      <c r="P43">
        <v>2631.97</v>
      </c>
      <c r="Q43">
        <v>22.09</v>
      </c>
    </row>
    <row r="44" spans="1:17" x14ac:dyDescent="0.25">
      <c r="A44" t="s">
        <v>193</v>
      </c>
      <c r="B44">
        <v>2806</v>
      </c>
      <c r="C44">
        <v>33.71</v>
      </c>
      <c r="E44" s="5" t="str">
        <f>LEFT(H44,6)</f>
        <v>31.119</v>
      </c>
      <c r="F44" s="6" t="str">
        <f>LEFT(I44,8)</f>
        <v>-103.380</v>
      </c>
      <c r="G44" s="6"/>
      <c r="H44" s="6" t="str">
        <f>LEFT(K44,8)</f>
        <v>31.11903</v>
      </c>
      <c r="I44" s="6" t="str">
        <f>RIGHT(K44,11)</f>
        <v>-103.380702</v>
      </c>
      <c r="J44" s="6"/>
      <c r="K44" s="7" t="s">
        <v>243</v>
      </c>
      <c r="N44" t="s">
        <v>193</v>
      </c>
      <c r="O44">
        <v>2806</v>
      </c>
      <c r="P44">
        <v>2890.15</v>
      </c>
      <c r="Q44">
        <v>36.46</v>
      </c>
    </row>
    <row r="45" spans="1:17" x14ac:dyDescent="0.25">
      <c r="A45" t="s">
        <v>194</v>
      </c>
      <c r="B45">
        <v>2804.14</v>
      </c>
      <c r="C45">
        <v>37.869999999999997</v>
      </c>
      <c r="E45" s="5" t="str">
        <f>LEFT(H45,6)</f>
        <v>31.115</v>
      </c>
      <c r="F45" s="6" t="str">
        <f>LEFT(I45,8)</f>
        <v>-103.388</v>
      </c>
      <c r="G45" s="6"/>
      <c r="H45" s="6" t="str">
        <f>LEFT(K45,9)</f>
        <v>31.115907</v>
      </c>
      <c r="I45" s="6" t="str">
        <f>RIGHT(K45,11)</f>
        <v>-103.388827</v>
      </c>
      <c r="J45" s="6"/>
      <c r="K45" s="7" t="s">
        <v>242</v>
      </c>
      <c r="N45" t="s">
        <v>194</v>
      </c>
      <c r="O45">
        <v>2804.14</v>
      </c>
      <c r="P45">
        <v>2897.69</v>
      </c>
      <c r="Q45">
        <v>40.53</v>
      </c>
    </row>
    <row r="46" spans="1:17" x14ac:dyDescent="0.25">
      <c r="A46" t="s">
        <v>195</v>
      </c>
      <c r="B46">
        <v>2804.19</v>
      </c>
      <c r="C46">
        <v>41.48</v>
      </c>
      <c r="E46" s="5" t="str">
        <f>LEFT(H46,6)</f>
        <v>31.124</v>
      </c>
      <c r="F46" s="6" t="str">
        <f>LEFT(I46,8)</f>
        <v>-103.367</v>
      </c>
      <c r="G46" s="6"/>
      <c r="H46" s="6" t="str">
        <f>LEFT(K46,9)</f>
        <v>31.124011</v>
      </c>
      <c r="I46" s="6" t="str">
        <f>RIGHT(K46,11)</f>
        <v>-103.367881</v>
      </c>
      <c r="J46" s="6"/>
      <c r="K46" s="7" t="s">
        <v>259</v>
      </c>
      <c r="N46" t="s">
        <v>195</v>
      </c>
      <c r="O46">
        <v>2804.19</v>
      </c>
      <c r="P46">
        <v>2905.88</v>
      </c>
      <c r="Q46">
        <v>44.06</v>
      </c>
    </row>
    <row r="47" spans="1:17" x14ac:dyDescent="0.25">
      <c r="A47" t="s">
        <v>196</v>
      </c>
      <c r="B47">
        <v>2798.89</v>
      </c>
      <c r="C47">
        <v>22.1</v>
      </c>
      <c r="E47" s="5" t="str">
        <f>LEFT(H47,6)</f>
        <v>31.124</v>
      </c>
      <c r="F47" s="6" t="str">
        <f>LEFT(I47,8)</f>
        <v>-103.377</v>
      </c>
      <c r="G47" s="6"/>
      <c r="H47" s="6" t="str">
        <f>LEFT(K47,9)</f>
        <v>31.124649</v>
      </c>
      <c r="I47" s="6" t="str">
        <f>RIGHT(K47,11)</f>
        <v>-103.377198</v>
      </c>
      <c r="J47" s="6"/>
      <c r="K47" s="7" t="s">
        <v>247</v>
      </c>
      <c r="N47" t="s">
        <v>196</v>
      </c>
      <c r="O47">
        <v>2798.89</v>
      </c>
      <c r="P47">
        <v>2857.2</v>
      </c>
      <c r="Q47">
        <v>25.26</v>
      </c>
    </row>
    <row r="48" spans="1:17" x14ac:dyDescent="0.25">
      <c r="A48" t="s">
        <v>197</v>
      </c>
      <c r="B48">
        <v>2787.48</v>
      </c>
      <c r="C48">
        <v>18.41</v>
      </c>
      <c r="E48" s="5" t="str">
        <f>LEFT(H48,6)</f>
        <v>31.130</v>
      </c>
      <c r="F48" s="6" t="str">
        <f>LEFT(I48,8)</f>
        <v>-103.377</v>
      </c>
      <c r="G48" s="6"/>
      <c r="H48" s="6" t="str">
        <f>LEFT(K48,9)</f>
        <v>31.130966</v>
      </c>
      <c r="I48" s="6" t="str">
        <f>RIGHT(K48,11)</f>
        <v>-103.377124</v>
      </c>
      <c r="J48" s="6"/>
      <c r="K48" s="7" t="s">
        <v>253</v>
      </c>
      <c r="N48" t="s">
        <v>197</v>
      </c>
      <c r="O48">
        <v>2787.48</v>
      </c>
      <c r="P48">
        <v>2837.81</v>
      </c>
      <c r="Q48">
        <v>21.81</v>
      </c>
    </row>
    <row r="49" spans="1:17" x14ac:dyDescent="0.25">
      <c r="A49" t="s">
        <v>198</v>
      </c>
      <c r="B49">
        <v>2781.53</v>
      </c>
      <c r="C49">
        <v>17.95</v>
      </c>
      <c r="E49" s="5" t="str">
        <f>LEFT(H49,6)</f>
        <v>31.135</v>
      </c>
      <c r="F49" s="6" t="str">
        <f>LEFT(I49,8)</f>
        <v>-103.380</v>
      </c>
      <c r="G49" s="6"/>
      <c r="H49" s="6" t="str">
        <f>LEFT(K49,9)</f>
        <v>31.135816</v>
      </c>
      <c r="I49" s="6" t="str">
        <f>RIGHT(K49,11)</f>
        <v>-103.380851</v>
      </c>
      <c r="J49" s="6"/>
      <c r="K49" s="7" t="s">
        <v>256</v>
      </c>
      <c r="N49" t="s">
        <v>198</v>
      </c>
      <c r="O49">
        <v>2781.53</v>
      </c>
      <c r="P49">
        <v>2830.97</v>
      </c>
      <c r="Q49">
        <v>21.42</v>
      </c>
    </row>
    <row r="50" spans="1:17" x14ac:dyDescent="0.25">
      <c r="A50" t="s">
        <v>199</v>
      </c>
      <c r="B50">
        <v>2792.37</v>
      </c>
      <c r="C50">
        <v>9.74</v>
      </c>
      <c r="E50" s="5" t="str">
        <f>LEFT(H50,6)</f>
        <v>31.135</v>
      </c>
      <c r="F50" s="6" t="str">
        <f>LEFT(I50,8)</f>
        <v>-103.373</v>
      </c>
      <c r="G50" s="6"/>
      <c r="H50" s="6" t="str">
        <f>LEFT(K50,9)</f>
        <v>31.135433</v>
      </c>
      <c r="I50" s="6" t="str">
        <f>RIGHT(K50,11)</f>
        <v>-103.373919</v>
      </c>
      <c r="J50" s="6"/>
      <c r="K50" s="7" t="s">
        <v>257</v>
      </c>
      <c r="N50" t="s">
        <v>199</v>
      </c>
      <c r="O50">
        <v>2792.37</v>
      </c>
      <c r="P50">
        <v>2823.12</v>
      </c>
      <c r="Q50">
        <v>13.32</v>
      </c>
    </row>
    <row r="51" spans="1:17" x14ac:dyDescent="0.25">
      <c r="A51" t="s">
        <v>200</v>
      </c>
      <c r="B51">
        <v>2820.27</v>
      </c>
      <c r="C51">
        <v>54.65</v>
      </c>
      <c r="E51" s="5" t="str">
        <f>LEFT(H51,6)</f>
        <v>31.113</v>
      </c>
      <c r="F51" s="6" t="str">
        <f>LEFT(I51,8)</f>
        <v>-103.357</v>
      </c>
      <c r="G51" s="6"/>
      <c r="H51" s="6" t="str">
        <f>LEFT(K51,9)</f>
        <v>31.113737</v>
      </c>
      <c r="I51" s="6" t="str">
        <f>RIGHT(K51,11)</f>
        <v>-103.357445</v>
      </c>
      <c r="J51" s="6"/>
      <c r="K51" s="7" t="s">
        <v>268</v>
      </c>
      <c r="N51" t="s">
        <v>200</v>
      </c>
      <c r="O51">
        <v>2820.27</v>
      </c>
      <c r="P51">
        <v>2951.05</v>
      </c>
      <c r="Q51">
        <v>56.67</v>
      </c>
    </row>
    <row r="52" spans="1:17" x14ac:dyDescent="0.25">
      <c r="A52" t="s">
        <v>201</v>
      </c>
      <c r="B52">
        <v>2813.46</v>
      </c>
      <c r="C52">
        <v>55.57</v>
      </c>
      <c r="E52" s="5" t="str">
        <f>LEFT(H52,6)</f>
        <v>31.119</v>
      </c>
      <c r="F52" s="6" t="str">
        <f>LEFT(I52,8)</f>
        <v>-103.356</v>
      </c>
      <c r="G52" s="6"/>
      <c r="H52" s="6" t="str">
        <f>LEFT(K52,9)</f>
        <v>31.119544</v>
      </c>
      <c r="I52" s="6" t="str">
        <f>RIGHT(K52,11)</f>
        <v>-103.356699</v>
      </c>
      <c r="J52" s="6"/>
      <c r="K52" s="7" t="s">
        <v>265</v>
      </c>
      <c r="N52" t="s">
        <v>201</v>
      </c>
      <c r="O52">
        <v>2813.46</v>
      </c>
      <c r="P52">
        <v>2946.52</v>
      </c>
      <c r="Q52">
        <v>57.65</v>
      </c>
    </row>
    <row r="53" spans="1:17" x14ac:dyDescent="0.25">
      <c r="A53" t="s">
        <v>202</v>
      </c>
      <c r="B53">
        <v>2802.59</v>
      </c>
      <c r="C53">
        <v>59.52</v>
      </c>
      <c r="E53" s="5" t="str">
        <f>LEFT(H53,6)</f>
        <v>31.126</v>
      </c>
      <c r="F53" s="6" t="str">
        <f>LEFT(I53,8)</f>
        <v>-103.356</v>
      </c>
      <c r="G53" s="6"/>
      <c r="H53" s="6" t="str">
        <f>LEFT(K53,9)</f>
        <v>31.126564</v>
      </c>
      <c r="I53" s="6" t="str">
        <f>RIGHT(K53,11)</f>
        <v>-103.356476</v>
      </c>
      <c r="J53" s="6"/>
      <c r="K53" s="7" t="s">
        <v>270</v>
      </c>
      <c r="N53" t="s">
        <v>202</v>
      </c>
      <c r="O53">
        <v>2802.59</v>
      </c>
      <c r="P53">
        <v>2944.86</v>
      </c>
      <c r="Q53">
        <v>61.65</v>
      </c>
    </row>
    <row r="54" spans="1:17" x14ac:dyDescent="0.25">
      <c r="A54" t="s">
        <v>203</v>
      </c>
      <c r="B54">
        <v>2806.95</v>
      </c>
      <c r="C54">
        <v>49</v>
      </c>
      <c r="E54" s="5" t="str">
        <f>LEFT(H54,6)</f>
        <v>31.121</v>
      </c>
      <c r="F54" s="6" t="str">
        <f>LEFT(I54,8)</f>
        <v>-103.361</v>
      </c>
      <c r="G54" s="6"/>
      <c r="H54" s="6" t="str">
        <f>LEFT(K54,9)</f>
        <v>31.121522</v>
      </c>
      <c r="I54" s="6" t="str">
        <f>RIGHT(K54,11)</f>
        <v>-103.361768</v>
      </c>
      <c r="J54" s="6"/>
      <c r="K54" s="7" t="s">
        <v>263</v>
      </c>
      <c r="N54" t="s">
        <v>203</v>
      </c>
      <c r="O54">
        <v>2806.95</v>
      </c>
      <c r="P54">
        <v>2925.46</v>
      </c>
      <c r="Q54">
        <v>51.35</v>
      </c>
    </row>
    <row r="55" spans="1:17" x14ac:dyDescent="0.25">
      <c r="A55" t="s">
        <v>204</v>
      </c>
      <c r="B55">
        <v>2597</v>
      </c>
      <c r="C55">
        <v>40.51</v>
      </c>
      <c r="E55" s="5" t="str">
        <f>LEFT(H55,6)</f>
        <v>31.393</v>
      </c>
      <c r="F55" s="6" t="str">
        <f>LEFT(I55,8)</f>
        <v>-103.508</v>
      </c>
      <c r="G55" s="6"/>
      <c r="H55" s="6" t="str">
        <f>LEFT(K55,9)</f>
        <v>31.393299</v>
      </c>
      <c r="I55" s="6" t="str">
        <f>RIGHT(K55,11)</f>
        <v>-103.508289</v>
      </c>
      <c r="J55" s="6"/>
      <c r="K55" s="7" t="s">
        <v>241</v>
      </c>
      <c r="N55" t="s">
        <v>204</v>
      </c>
      <c r="O55">
        <v>2597</v>
      </c>
      <c r="P55">
        <v>2653.84</v>
      </c>
      <c r="Q55">
        <v>24.63</v>
      </c>
    </row>
    <row r="56" spans="1:17" x14ac:dyDescent="0.25">
      <c r="A56" t="s">
        <v>205</v>
      </c>
      <c r="B56">
        <v>2597</v>
      </c>
      <c r="C56">
        <v>6.44</v>
      </c>
      <c r="E56" s="5" t="str">
        <f>LEFT(H56,6)</f>
        <v>31.393</v>
      </c>
      <c r="F56" s="6" t="str">
        <f>LEFT(I56,8)</f>
        <v>-103.508</v>
      </c>
      <c r="G56" s="6"/>
      <c r="H56" s="6" t="str">
        <f>LEFT(K56,9)</f>
        <v>31.393299</v>
      </c>
      <c r="I56" s="6" t="str">
        <f>RIGHT(K56,11)</f>
        <v>-103.508289</v>
      </c>
      <c r="J56" s="6"/>
      <c r="K56" s="7" t="s">
        <v>241</v>
      </c>
      <c r="N56" t="s">
        <v>205</v>
      </c>
      <c r="O56">
        <v>2597</v>
      </c>
      <c r="P56">
        <v>2611.27</v>
      </c>
      <c r="Q56">
        <v>6.18</v>
      </c>
    </row>
    <row r="57" spans="1:17" x14ac:dyDescent="0.25">
      <c r="A57" t="s">
        <v>206</v>
      </c>
      <c r="B57">
        <v>2597</v>
      </c>
      <c r="C57">
        <v>40.51</v>
      </c>
      <c r="E57" s="5" t="str">
        <f>LEFT(H57,6)</f>
        <v>31.393</v>
      </c>
      <c r="F57" s="6" t="str">
        <f>LEFT(I57,8)</f>
        <v>-103.508</v>
      </c>
      <c r="G57" s="6"/>
      <c r="H57" s="6" t="str">
        <f>LEFT(K57,9)</f>
        <v>31.393299</v>
      </c>
      <c r="I57" s="6" t="str">
        <f>RIGHT(K57,11)</f>
        <v>-103.508289</v>
      </c>
      <c r="J57" s="6"/>
      <c r="K57" s="7" t="s">
        <v>241</v>
      </c>
      <c r="N57" t="s">
        <v>206</v>
      </c>
      <c r="O57">
        <v>2597</v>
      </c>
      <c r="P57">
        <v>2653.98</v>
      </c>
      <c r="Q57">
        <v>24.69</v>
      </c>
    </row>
    <row r="58" spans="1:17" x14ac:dyDescent="0.25">
      <c r="A58" t="s">
        <v>207</v>
      </c>
      <c r="B58">
        <v>2597</v>
      </c>
      <c r="C58">
        <v>13.5</v>
      </c>
      <c r="E58" s="5" t="str">
        <f>LEFT(H58,6)</f>
        <v>31.393</v>
      </c>
      <c r="F58" s="6" t="str">
        <f>LEFT(I58,8)</f>
        <v>-103.508</v>
      </c>
      <c r="G58" s="6"/>
      <c r="H58" s="6" t="str">
        <f>LEFT(K58,9)</f>
        <v>31.393299</v>
      </c>
      <c r="I58" s="6" t="str">
        <f>RIGHT(K58,11)</f>
        <v>-103.508289</v>
      </c>
      <c r="J58" s="6"/>
      <c r="K58" s="7" t="s">
        <v>241</v>
      </c>
      <c r="N58" t="s">
        <v>207</v>
      </c>
      <c r="O58">
        <v>2597</v>
      </c>
      <c r="P58">
        <v>2613.19</v>
      </c>
      <c r="Q58">
        <v>7.02</v>
      </c>
    </row>
    <row r="59" spans="1:17" x14ac:dyDescent="0.25">
      <c r="A59" t="s">
        <v>208</v>
      </c>
      <c r="B59">
        <v>2597</v>
      </c>
      <c r="C59">
        <v>6.48</v>
      </c>
      <c r="E59" s="5" t="str">
        <f>LEFT(H59,6)</f>
        <v>31.393</v>
      </c>
      <c r="F59" s="6" t="str">
        <f>LEFT(I59,8)</f>
        <v>-103.508</v>
      </c>
      <c r="G59" s="6"/>
      <c r="H59" s="6" t="str">
        <f>LEFT(K59,9)</f>
        <v>31.393299</v>
      </c>
      <c r="I59" s="6" t="str">
        <f>RIGHT(K59,11)</f>
        <v>-103.508289</v>
      </c>
      <c r="J59" s="6"/>
      <c r="K59" s="7" t="s">
        <v>241</v>
      </c>
      <c r="N59" t="s">
        <v>208</v>
      </c>
      <c r="O59">
        <v>2597</v>
      </c>
      <c r="P59">
        <v>2612.89</v>
      </c>
      <c r="Q59">
        <v>6.89</v>
      </c>
    </row>
    <row r="60" spans="1:17" x14ac:dyDescent="0.25">
      <c r="A60" t="s">
        <v>209</v>
      </c>
      <c r="B60">
        <v>2792</v>
      </c>
      <c r="C60">
        <v>6</v>
      </c>
      <c r="E60" s="5" t="str">
        <f>LEFT(H60,6)</f>
        <v>31.141</v>
      </c>
      <c r="F60" s="6" t="str">
        <f>LEFT(I60,8)</f>
        <v>-103.375</v>
      </c>
      <c r="G60" s="6"/>
      <c r="H60" s="6" t="str">
        <f>LEFT(K60,9)</f>
        <v>31.141303</v>
      </c>
      <c r="I60" s="6" t="str">
        <f>RIGHT(K60,11)</f>
        <v>-103.375235</v>
      </c>
      <c r="J60" s="6"/>
      <c r="K60" s="7" t="s">
        <v>225</v>
      </c>
      <c r="N60" t="s">
        <v>209</v>
      </c>
      <c r="O60">
        <v>2792</v>
      </c>
      <c r="P60">
        <v>2805.38</v>
      </c>
      <c r="Q60">
        <v>5.8</v>
      </c>
    </row>
    <row r="61" spans="1:17" x14ac:dyDescent="0.25">
      <c r="A61" t="s">
        <v>279</v>
      </c>
      <c r="B61">
        <v>2330</v>
      </c>
      <c r="C61">
        <v>0</v>
      </c>
      <c r="E61" s="5" t="str">
        <f>LEFT(H61,6)</f>
        <v>31.115</v>
      </c>
      <c r="F61" s="6" t="str">
        <f>LEFT(I61,8)</f>
        <v>-103.388</v>
      </c>
      <c r="G61" s="6"/>
      <c r="H61" s="6" t="str">
        <f>LEFT(K61,9)</f>
        <v>31.115907</v>
      </c>
      <c r="I61" s="6" t="str">
        <f>RIGHT(K61,11)</f>
        <v>-103.388827</v>
      </c>
      <c r="J61" s="6"/>
      <c r="K61" s="7" t="s">
        <v>242</v>
      </c>
      <c r="N61" t="s">
        <v>290</v>
      </c>
      <c r="O61">
        <v>2330</v>
      </c>
      <c r="P61">
        <v>2330</v>
      </c>
      <c r="Q61">
        <v>0</v>
      </c>
    </row>
    <row r="62" spans="1:17" x14ac:dyDescent="0.25">
      <c r="A62" t="s">
        <v>280</v>
      </c>
      <c r="B62">
        <v>2330</v>
      </c>
      <c r="C62">
        <v>0</v>
      </c>
      <c r="E62" s="5" t="str">
        <f>LEFT(H62,6)</f>
        <v>31.119</v>
      </c>
      <c r="F62" s="6" t="str">
        <f>LEFT(I62,8)</f>
        <v>-103.380</v>
      </c>
      <c r="G62" s="6"/>
      <c r="H62" s="6" t="str">
        <f>LEFT(K62,9)</f>
        <v>31.119034</v>
      </c>
      <c r="I62" s="6" t="str">
        <f>RIGHT(K62,11)</f>
        <v>-103.380702</v>
      </c>
      <c r="J62" s="6"/>
      <c r="K62" s="7" t="s">
        <v>243</v>
      </c>
      <c r="N62" t="s">
        <v>291</v>
      </c>
      <c r="O62">
        <v>2330</v>
      </c>
      <c r="P62">
        <v>2330</v>
      </c>
      <c r="Q62">
        <v>0</v>
      </c>
    </row>
    <row r="63" spans="1:17" x14ac:dyDescent="0.25">
      <c r="A63" t="s">
        <v>278</v>
      </c>
      <c r="B63">
        <v>2330</v>
      </c>
      <c r="C63">
        <v>0</v>
      </c>
      <c r="E63" s="5" t="str">
        <f>LEFT(H63,6)</f>
        <v>31.122</v>
      </c>
      <c r="F63" s="6" t="str">
        <f>LEFT(I63,8)</f>
        <v>-103.387</v>
      </c>
      <c r="G63" s="6"/>
      <c r="H63" s="6" t="str">
        <f>LEFT(K63,9)</f>
        <v>31.122416</v>
      </c>
      <c r="I63" s="6" t="str">
        <f>RIGHT(K63,11)</f>
        <v>-103.387933</v>
      </c>
      <c r="J63" s="6"/>
      <c r="K63" s="7" t="s">
        <v>244</v>
      </c>
      <c r="N63" t="s">
        <v>292</v>
      </c>
      <c r="O63">
        <v>2330</v>
      </c>
      <c r="P63">
        <v>2330</v>
      </c>
      <c r="Q63">
        <v>0</v>
      </c>
    </row>
    <row r="64" spans="1:17" x14ac:dyDescent="0.25">
      <c r="A64" t="s">
        <v>277</v>
      </c>
      <c r="B64">
        <v>2330</v>
      </c>
      <c r="C64">
        <v>0</v>
      </c>
      <c r="E64" s="5" t="str">
        <f>LEFT(H64,6)</f>
        <v>31.126</v>
      </c>
      <c r="F64" s="6" t="str">
        <f>LEFT(I64,8)</f>
        <v>-103.382</v>
      </c>
      <c r="G64" s="6"/>
      <c r="H64" s="6" t="str">
        <f>LEFT(K64,9)</f>
        <v>31.126755</v>
      </c>
      <c r="I64" s="6" t="str">
        <f>RIGHT(K64,11)</f>
        <v>-103.382640</v>
      </c>
      <c r="J64" s="6"/>
      <c r="K64" s="7" t="s">
        <v>251</v>
      </c>
      <c r="N64" t="s">
        <v>293</v>
      </c>
      <c r="O64">
        <v>2330</v>
      </c>
      <c r="P64">
        <v>2330</v>
      </c>
      <c r="Q64">
        <v>0</v>
      </c>
    </row>
    <row r="65" spans="1:17" x14ac:dyDescent="0.25">
      <c r="A65" t="s">
        <v>281</v>
      </c>
      <c r="B65">
        <v>2330</v>
      </c>
      <c r="C65">
        <v>0</v>
      </c>
      <c r="E65" s="5" t="str">
        <f>LEFT(H65,6)</f>
        <v>31.117</v>
      </c>
      <c r="F65" s="6" t="str">
        <f>LEFT(I65,8)</f>
        <v>-103.368</v>
      </c>
      <c r="G65" s="6"/>
      <c r="H65" s="6" t="str">
        <f>LEFT(K65,9)</f>
        <v>31.117247</v>
      </c>
      <c r="I65" s="6" t="str">
        <f>RIGHT(K65,11)</f>
        <v>-103.368104</v>
      </c>
      <c r="J65" s="6"/>
      <c r="K65" s="7" t="s">
        <v>262</v>
      </c>
      <c r="N65" t="s">
        <v>294</v>
      </c>
      <c r="O65">
        <v>2330</v>
      </c>
      <c r="P65">
        <v>2330</v>
      </c>
      <c r="Q65">
        <v>0</v>
      </c>
    </row>
    <row r="66" spans="1:17" x14ac:dyDescent="0.25">
      <c r="A66" t="s">
        <v>271</v>
      </c>
      <c r="B66">
        <v>2330</v>
      </c>
      <c r="C66">
        <v>0</v>
      </c>
      <c r="E66" s="5" t="str">
        <f>LEFT(H66,6)</f>
        <v>31.126</v>
      </c>
      <c r="F66" s="6" t="str">
        <f>LEFT(I66,8)</f>
        <v>-103.356</v>
      </c>
      <c r="G66" s="6"/>
      <c r="H66" s="6" t="str">
        <f>LEFT(K66,9)</f>
        <v>31.126564</v>
      </c>
      <c r="I66" s="6" t="str">
        <f>RIGHT(K66,11)</f>
        <v>-103.356476</v>
      </c>
      <c r="J66" s="6"/>
      <c r="K66" s="7" t="s">
        <v>270</v>
      </c>
      <c r="N66" t="s">
        <v>271</v>
      </c>
      <c r="O66">
        <v>2330</v>
      </c>
      <c r="P66">
        <v>2330</v>
      </c>
      <c r="Q66">
        <v>0</v>
      </c>
    </row>
    <row r="67" spans="1:17" x14ac:dyDescent="0.25">
      <c r="A67" t="s">
        <v>267</v>
      </c>
      <c r="B67">
        <v>2330</v>
      </c>
      <c r="C67">
        <v>0</v>
      </c>
      <c r="E67" s="5" t="str">
        <f>LEFT(H67,6)</f>
        <v>31.119</v>
      </c>
      <c r="F67" s="6" t="str">
        <f>LEFT(I67,8)</f>
        <v>-103.356</v>
      </c>
      <c r="G67" s="6"/>
      <c r="H67" s="6" t="str">
        <f>LEFT(K67,9)</f>
        <v>31.119544</v>
      </c>
      <c r="I67" s="6" t="str">
        <f>RIGHT(K67,11)</f>
        <v>-103.356699</v>
      </c>
      <c r="J67" s="6"/>
      <c r="K67" s="7" t="s">
        <v>265</v>
      </c>
      <c r="N67" t="s">
        <v>295</v>
      </c>
      <c r="O67">
        <v>2330</v>
      </c>
      <c r="P67">
        <v>2330</v>
      </c>
      <c r="Q67">
        <v>0</v>
      </c>
    </row>
    <row r="68" spans="1:17" x14ac:dyDescent="0.25">
      <c r="A68" t="s">
        <v>269</v>
      </c>
      <c r="B68">
        <v>2330</v>
      </c>
      <c r="C68">
        <v>0</v>
      </c>
      <c r="E68" s="5" t="str">
        <f>LEFT(H68,6)</f>
        <v>31.113</v>
      </c>
      <c r="F68" s="6" t="str">
        <f>LEFT(I68,8)</f>
        <v>-103.357</v>
      </c>
      <c r="G68" s="6"/>
      <c r="H68" s="6" t="str">
        <f>LEFT(K68,9)</f>
        <v>31.113737</v>
      </c>
      <c r="I68" s="6" t="str">
        <f>RIGHT(K68,11)</f>
        <v>-103.357445</v>
      </c>
      <c r="J68" s="6"/>
      <c r="K68" s="7" t="s">
        <v>268</v>
      </c>
      <c r="N68" t="s">
        <v>296</v>
      </c>
      <c r="O68">
        <v>2330</v>
      </c>
      <c r="P68">
        <v>2330</v>
      </c>
      <c r="Q68">
        <v>0</v>
      </c>
    </row>
    <row r="69" spans="1:17" x14ac:dyDescent="0.25">
      <c r="A69" t="s">
        <v>272</v>
      </c>
      <c r="B69">
        <v>2330</v>
      </c>
      <c r="C69">
        <v>0</v>
      </c>
      <c r="E69" s="5" t="str">
        <f>LEFT(H69,6)</f>
        <v>31.123</v>
      </c>
      <c r="F69" s="6" t="str">
        <f>LEFT(I69,8)</f>
        <v>-103.368</v>
      </c>
      <c r="G69" s="6"/>
      <c r="H69" s="6" t="str">
        <f>LEFT(K69,9)</f>
        <v>31.123373</v>
      </c>
      <c r="I69" s="6" t="str">
        <f>RIGHT(K69,11)</f>
        <v>-103.368104</v>
      </c>
      <c r="J69" s="6"/>
      <c r="K69" s="7" t="s">
        <v>260</v>
      </c>
      <c r="N69" t="s">
        <v>297</v>
      </c>
      <c r="O69">
        <v>2330</v>
      </c>
      <c r="P69">
        <v>2330</v>
      </c>
      <c r="Q69">
        <v>0</v>
      </c>
    </row>
    <row r="70" spans="1:17" x14ac:dyDescent="0.25">
      <c r="A70" t="s">
        <v>273</v>
      </c>
      <c r="B70">
        <v>2330</v>
      </c>
      <c r="C70">
        <v>0</v>
      </c>
      <c r="E70" s="5" t="str">
        <f>LEFT(H70,6)</f>
        <v>31.124</v>
      </c>
      <c r="F70" s="6" t="str">
        <f>LEFT(I70,8)</f>
        <v>-103.377</v>
      </c>
      <c r="G70" s="6"/>
      <c r="H70" s="6" t="str">
        <f>LEFT(K70,9)</f>
        <v>31.124649</v>
      </c>
      <c r="I70" s="6" t="str">
        <f>RIGHT(K70,11)</f>
        <v>-103.377198</v>
      </c>
      <c r="J70" s="6"/>
      <c r="K70" s="7" t="s">
        <v>247</v>
      </c>
      <c r="N70" t="s">
        <v>298</v>
      </c>
      <c r="O70">
        <v>2330</v>
      </c>
      <c r="P70">
        <v>2330</v>
      </c>
      <c r="Q70">
        <v>0</v>
      </c>
    </row>
    <row r="71" spans="1:17" x14ac:dyDescent="0.25">
      <c r="A71" t="s">
        <v>274</v>
      </c>
      <c r="B71">
        <v>2330</v>
      </c>
      <c r="C71">
        <v>0</v>
      </c>
      <c r="E71" s="5" t="str">
        <f>LEFT(H71,6)</f>
        <v>31.130</v>
      </c>
      <c r="F71" s="6" t="str">
        <f>LEFT(I71,8)</f>
        <v>-103.377</v>
      </c>
      <c r="G71" s="6"/>
      <c r="H71" s="6" t="str">
        <f>LEFT(K71,9)</f>
        <v>31.130966</v>
      </c>
      <c r="I71" s="6" t="str">
        <f>RIGHT(K71,11)</f>
        <v>-103.377124</v>
      </c>
      <c r="J71" s="6"/>
      <c r="K71" s="7" t="s">
        <v>253</v>
      </c>
      <c r="N71" t="s">
        <v>299</v>
      </c>
      <c r="O71">
        <v>2330</v>
      </c>
      <c r="P71">
        <v>2330</v>
      </c>
      <c r="Q71">
        <v>0</v>
      </c>
    </row>
    <row r="72" spans="1:17" x14ac:dyDescent="0.25">
      <c r="A72" t="s">
        <v>276</v>
      </c>
      <c r="B72">
        <v>2330</v>
      </c>
      <c r="C72">
        <v>0</v>
      </c>
      <c r="E72" s="5" t="str">
        <f>LEFT(H72,6)</f>
        <v>31.135</v>
      </c>
      <c r="F72" s="6" t="str">
        <f>LEFT(I72,8)</f>
        <v>-103.380</v>
      </c>
      <c r="G72" s="6"/>
      <c r="H72" s="6" t="str">
        <f>LEFT(K72,9)</f>
        <v>31.135816</v>
      </c>
      <c r="I72" s="6" t="str">
        <f>RIGHT(K72,11)</f>
        <v>-103.380851</v>
      </c>
      <c r="J72" s="6"/>
      <c r="K72" s="7" t="s">
        <v>256</v>
      </c>
      <c r="N72" t="s">
        <v>276</v>
      </c>
      <c r="O72">
        <v>2330</v>
      </c>
      <c r="P72">
        <v>2330</v>
      </c>
      <c r="Q72">
        <v>0</v>
      </c>
    </row>
    <row r="73" spans="1:17" x14ac:dyDescent="0.25">
      <c r="A73" t="s">
        <v>275</v>
      </c>
      <c r="B73">
        <v>2330</v>
      </c>
      <c r="C73">
        <v>0</v>
      </c>
      <c r="E73" s="5" t="str">
        <f>LEFT(H73,6)</f>
        <v>31.135</v>
      </c>
      <c r="F73" s="6" t="str">
        <f>LEFT(I73,8)</f>
        <v>-103.373</v>
      </c>
      <c r="G73" s="6"/>
      <c r="H73" s="6" t="str">
        <f>LEFT(K73,9)</f>
        <v>31.135433</v>
      </c>
      <c r="I73" s="6" t="str">
        <f>RIGHT(K73,11)</f>
        <v>-103.373919</v>
      </c>
      <c r="J73" s="6"/>
      <c r="K73" s="7" t="s">
        <v>257</v>
      </c>
      <c r="N73" t="s">
        <v>300</v>
      </c>
      <c r="O73">
        <v>2330</v>
      </c>
      <c r="P73">
        <v>2330</v>
      </c>
      <c r="Q73">
        <v>0</v>
      </c>
    </row>
    <row r="74" spans="1:17" x14ac:dyDescent="0.25">
      <c r="A74" t="s">
        <v>266</v>
      </c>
      <c r="B74">
        <v>2330</v>
      </c>
      <c r="C74">
        <v>0</v>
      </c>
      <c r="E74" s="5" t="str">
        <f>LEFT(H74,6)</f>
        <v>31.121</v>
      </c>
      <c r="F74" s="6" t="str">
        <f>LEFT(I74,8)</f>
        <v>-103.361</v>
      </c>
      <c r="G74" s="6"/>
      <c r="H74" s="6" t="str">
        <f>LEFT(K74,9)</f>
        <v>31.121522</v>
      </c>
      <c r="I74" s="6" t="str">
        <f>RIGHT(K74,11)</f>
        <v>-103.361768</v>
      </c>
      <c r="J74" s="6"/>
      <c r="K74" s="7" t="s">
        <v>263</v>
      </c>
      <c r="N74" t="s">
        <v>301</v>
      </c>
      <c r="O74">
        <v>2330</v>
      </c>
      <c r="P74">
        <v>2330</v>
      </c>
      <c r="Q74">
        <v>0</v>
      </c>
    </row>
    <row r="75" spans="1:17" x14ac:dyDescent="0.25">
      <c r="A75" t="s">
        <v>210</v>
      </c>
      <c r="B75">
        <v>2597</v>
      </c>
      <c r="C75">
        <v>6.5</v>
      </c>
      <c r="E75" s="5" t="str">
        <f>LEFT(H75,6)</f>
        <v>31.392</v>
      </c>
      <c r="F75" s="6" t="str">
        <f>LEFT(I75,8)</f>
        <v>-103.508</v>
      </c>
      <c r="G75" s="6"/>
      <c r="H75" s="6" t="str">
        <f>LEFT(K75,9)</f>
        <v>31.392415</v>
      </c>
      <c r="I75" s="6" t="str">
        <f>RIGHT(K75,11)</f>
        <v>-103.508212</v>
      </c>
      <c r="J75" s="6"/>
      <c r="K75" s="7" t="s">
        <v>239</v>
      </c>
      <c r="N75" t="s">
        <v>210</v>
      </c>
      <c r="O75">
        <v>2597</v>
      </c>
      <c r="P75">
        <v>2613.71</v>
      </c>
      <c r="Q75">
        <v>7.24</v>
      </c>
    </row>
    <row r="76" spans="1:17" x14ac:dyDescent="0.25">
      <c r="A76" t="s">
        <v>211</v>
      </c>
      <c r="B76">
        <v>2791</v>
      </c>
      <c r="C76">
        <v>6.5</v>
      </c>
      <c r="E76" s="5" t="str">
        <f>LEFT(H76,6)</f>
        <v>31.140</v>
      </c>
      <c r="F76" s="6" t="str">
        <f>LEFT(I76,8)</f>
        <v>-103.375</v>
      </c>
      <c r="G76" s="6"/>
      <c r="H76" s="6" t="str">
        <f>LEFT(K76,9)</f>
        <v>31.140878</v>
      </c>
      <c r="I76" s="6" t="str">
        <f>RIGHT(K76,11)</f>
        <v>-103.375600</v>
      </c>
      <c r="J76" s="6"/>
      <c r="K76" s="7" t="s">
        <v>226</v>
      </c>
      <c r="N76" t="s">
        <v>211</v>
      </c>
      <c r="O76">
        <v>2791</v>
      </c>
      <c r="P76">
        <v>2805.55</v>
      </c>
      <c r="Q76">
        <v>6.3</v>
      </c>
    </row>
    <row r="77" spans="1:17" x14ac:dyDescent="0.25">
      <c r="A77" t="s">
        <v>212</v>
      </c>
      <c r="B77">
        <v>2791</v>
      </c>
      <c r="C77">
        <v>3.47</v>
      </c>
      <c r="E77" s="5" t="str">
        <f>LEFT(H77,6)</f>
        <v>31.140</v>
      </c>
      <c r="F77" s="6" t="str">
        <f>LEFT(I77,8)</f>
        <v>-103.375</v>
      </c>
      <c r="G77" s="6"/>
      <c r="H77" s="6" t="str">
        <f>LEFT(K77,9)</f>
        <v>31.140679</v>
      </c>
      <c r="I77" s="6" t="str">
        <f>RIGHT(K77,11)</f>
        <v>-103.375833</v>
      </c>
      <c r="J77" s="6"/>
      <c r="K77" s="7" t="s">
        <v>227</v>
      </c>
      <c r="N77" t="s">
        <v>212</v>
      </c>
      <c r="O77">
        <v>2791</v>
      </c>
      <c r="P77">
        <v>2807.75</v>
      </c>
      <c r="Q77">
        <v>7.26</v>
      </c>
    </row>
    <row r="78" spans="1:17" ht="15.75" thickBot="1" x14ac:dyDescent="0.3">
      <c r="A78" t="s">
        <v>213</v>
      </c>
      <c r="B78">
        <v>2598</v>
      </c>
      <c r="C78">
        <v>13</v>
      </c>
      <c r="E78" s="9" t="str">
        <f>LEFT(H78,6)</f>
        <v>31.392</v>
      </c>
      <c r="F78" s="10" t="str">
        <f>LEFT(I78,8)</f>
        <v>-103.507</v>
      </c>
      <c r="G78" s="10"/>
      <c r="H78" s="10" t="str">
        <f>LEFT(K78,9)</f>
        <v>31.392650</v>
      </c>
      <c r="I78" s="10" t="str">
        <f>RIGHT(K78,11)</f>
        <v>-103.507661</v>
      </c>
      <c r="J78" s="10"/>
      <c r="K78" s="11" t="s">
        <v>240</v>
      </c>
      <c r="N78" t="s">
        <v>213</v>
      </c>
      <c r="O78">
        <v>2598</v>
      </c>
      <c r="P78">
        <v>2613.02</v>
      </c>
      <c r="Q78">
        <v>6.51</v>
      </c>
    </row>
  </sheetData>
  <mergeCells count="1">
    <mergeCell ref="E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8"/>
  <sheetViews>
    <sheetView workbookViewId="0">
      <pane ySplit="3" topLeftCell="A31" activePane="bottomLeft" state="frozen"/>
      <selection pane="bottomLeft" activeCell="F1" sqref="F1:L1048576"/>
    </sheetView>
  </sheetViews>
  <sheetFormatPr defaultRowHeight="15" x14ac:dyDescent="0.25"/>
  <sheetData>
    <row r="1" spans="1:12" x14ac:dyDescent="0.25">
      <c r="A1" t="s">
        <v>287</v>
      </c>
      <c r="F1" s="14" t="s">
        <v>284</v>
      </c>
      <c r="G1" s="15"/>
      <c r="H1" s="15"/>
      <c r="I1" s="15"/>
      <c r="J1" s="15"/>
      <c r="K1" s="15"/>
      <c r="L1" s="16"/>
    </row>
    <row r="2" spans="1:12" x14ac:dyDescent="0.25">
      <c r="A2" t="s">
        <v>288</v>
      </c>
      <c r="F2" s="5"/>
      <c r="G2" s="6"/>
      <c r="H2" s="6"/>
      <c r="I2" s="6"/>
      <c r="J2" s="6"/>
      <c r="K2" s="6"/>
      <c r="L2" s="7"/>
    </row>
    <row r="3" spans="1:12" ht="17.25" customHeight="1" x14ac:dyDescent="0.25">
      <c r="A3" t="s">
        <v>148</v>
      </c>
      <c r="B3" t="s">
        <v>149</v>
      </c>
      <c r="C3" t="s">
        <v>289</v>
      </c>
      <c r="D3" t="s">
        <v>150</v>
      </c>
      <c r="F3" s="5" t="s">
        <v>282</v>
      </c>
      <c r="G3" s="6"/>
      <c r="H3" s="6"/>
      <c r="I3" s="6" t="s">
        <v>283</v>
      </c>
      <c r="J3" s="6"/>
      <c r="K3" s="6"/>
      <c r="L3" s="8" t="s">
        <v>285</v>
      </c>
    </row>
    <row r="4" spans="1:12" x14ac:dyDescent="0.25">
      <c r="A4" t="s">
        <v>151</v>
      </c>
      <c r="B4" t="s">
        <v>152</v>
      </c>
      <c r="C4" t="s">
        <v>152</v>
      </c>
      <c r="D4" t="s">
        <v>153</v>
      </c>
      <c r="F4" s="5" t="s">
        <v>229</v>
      </c>
      <c r="G4" s="6" t="s">
        <v>230</v>
      </c>
      <c r="H4" s="6"/>
      <c r="I4" s="6" t="s">
        <v>229</v>
      </c>
      <c r="J4" s="6" t="s">
        <v>230</v>
      </c>
      <c r="K4" s="6"/>
      <c r="L4" s="7" t="s">
        <v>286</v>
      </c>
    </row>
    <row r="5" spans="1:12" x14ac:dyDescent="0.25">
      <c r="A5" t="s">
        <v>154</v>
      </c>
      <c r="B5">
        <v>2793</v>
      </c>
      <c r="C5">
        <v>2825.65</v>
      </c>
      <c r="D5">
        <v>14.15</v>
      </c>
      <c r="F5" s="5" t="str">
        <f>LEFT(I5,6)</f>
        <v>31.134</v>
      </c>
      <c r="G5" s="6" t="str">
        <f>LEFT(J5,8)</f>
        <v>-103.377</v>
      </c>
      <c r="H5" s="6"/>
      <c r="I5" s="6" t="str">
        <f>LEFT(L5,9)</f>
        <v>31.134986</v>
      </c>
      <c r="J5" s="6" t="str">
        <f>RIGHT(L5,11)</f>
        <v>-103.377198</v>
      </c>
      <c r="K5" s="6"/>
      <c r="L5" s="7" t="s">
        <v>254</v>
      </c>
    </row>
    <row r="6" spans="1:12" x14ac:dyDescent="0.25">
      <c r="A6" t="s">
        <v>155</v>
      </c>
      <c r="B6">
        <v>2790</v>
      </c>
      <c r="C6">
        <v>2819.23</v>
      </c>
      <c r="D6">
        <v>12.67</v>
      </c>
      <c r="F6" s="5" t="str">
        <f>LEFT(I6,6)</f>
        <v>31.136</v>
      </c>
      <c r="G6" s="6" t="str">
        <f>LEFT(J6,8)</f>
        <v>-103.376</v>
      </c>
      <c r="H6" s="6"/>
      <c r="I6" s="6" t="str">
        <f>LEFT(L6,9)</f>
        <v>31.136326</v>
      </c>
      <c r="J6" s="6" t="str">
        <f>RIGHT(L6,11)</f>
        <v>-103.376751</v>
      </c>
      <c r="K6" s="6"/>
      <c r="L6" s="7" t="s">
        <v>255</v>
      </c>
    </row>
    <row r="7" spans="1:12" x14ac:dyDescent="0.25">
      <c r="A7" t="s">
        <v>156</v>
      </c>
      <c r="B7">
        <v>2787.48</v>
      </c>
      <c r="C7">
        <v>2836.26</v>
      </c>
      <c r="D7">
        <v>21.14</v>
      </c>
      <c r="F7" s="5" t="str">
        <f>LEFT(I7,6)</f>
        <v>31.131</v>
      </c>
      <c r="G7" s="6" t="str">
        <f>LEFT(J7,8)</f>
        <v>-103.378</v>
      </c>
      <c r="H7" s="6"/>
      <c r="I7" s="6" t="str">
        <f>LEFT(L7,9)</f>
        <v>31.131285</v>
      </c>
      <c r="J7" s="6" t="str">
        <f>RIGHT(L7,11)</f>
        <v>-103.378093</v>
      </c>
      <c r="K7" s="6"/>
      <c r="L7" s="7" t="s">
        <v>252</v>
      </c>
    </row>
    <row r="8" spans="1:12" x14ac:dyDescent="0.25">
      <c r="A8" t="s">
        <v>157</v>
      </c>
      <c r="B8">
        <v>2791.25</v>
      </c>
      <c r="C8">
        <v>2808.13</v>
      </c>
      <c r="D8">
        <v>7.31</v>
      </c>
      <c r="F8" s="5" t="str">
        <f>LEFT(I8,6)</f>
        <v>31.140</v>
      </c>
      <c r="G8" s="6" t="str">
        <f>LEFT(J8,8)</f>
        <v>-103.375</v>
      </c>
      <c r="H8" s="6"/>
      <c r="I8" s="6" t="str">
        <f>LEFT(L8,9)</f>
        <v>31.140601</v>
      </c>
      <c r="J8" s="6" t="str">
        <f>RIGHT(L8,11)</f>
        <v>-103.375857</v>
      </c>
      <c r="K8" s="6"/>
      <c r="L8" s="7" t="s">
        <v>258</v>
      </c>
    </row>
    <row r="9" spans="1:12" x14ac:dyDescent="0.25">
      <c r="A9" t="s">
        <v>158</v>
      </c>
      <c r="B9">
        <v>2790</v>
      </c>
      <c r="C9">
        <v>2851.86</v>
      </c>
      <c r="D9">
        <v>26.8</v>
      </c>
      <c r="F9" s="5" t="str">
        <f>LEFT(I9,6)</f>
        <v>31.125</v>
      </c>
      <c r="G9" s="6" t="str">
        <f>LEFT(J9,8)</f>
        <v>-103.379</v>
      </c>
      <c r="H9" s="6"/>
      <c r="I9" s="6" t="str">
        <f>LEFT(L9,9)</f>
        <v>31.125479</v>
      </c>
      <c r="J9" s="6" t="str">
        <f>RIGHT(L9,11)</f>
        <v>-103.379435</v>
      </c>
      <c r="K9" s="6"/>
      <c r="L9" s="7" t="s">
        <v>249</v>
      </c>
    </row>
    <row r="10" spans="1:12" x14ac:dyDescent="0.25">
      <c r="A10" t="s">
        <v>159</v>
      </c>
      <c r="B10">
        <v>2792.39</v>
      </c>
      <c r="C10">
        <v>2854.83</v>
      </c>
      <c r="D10">
        <v>27.05</v>
      </c>
      <c r="F10" s="5" t="str">
        <f>LEFT(I10,6)</f>
        <v>31.124</v>
      </c>
      <c r="G10" s="6" t="str">
        <f>LEFT(J10,8)</f>
        <v>-103.380</v>
      </c>
      <c r="H10" s="6"/>
      <c r="I10" s="6" t="str">
        <f>LEFT(L10,9)</f>
        <v>31.124585</v>
      </c>
      <c r="J10" s="6" t="str">
        <f>RIGHT(L10,11)</f>
        <v>-103.380329</v>
      </c>
      <c r="K10" s="6"/>
      <c r="L10" s="7" t="s">
        <v>250</v>
      </c>
    </row>
    <row r="11" spans="1:12" x14ac:dyDescent="0.25">
      <c r="A11" t="s">
        <v>160</v>
      </c>
      <c r="B11">
        <v>2799.3</v>
      </c>
      <c r="C11">
        <v>2886.05</v>
      </c>
      <c r="D11">
        <v>37.590000000000003</v>
      </c>
      <c r="F11" s="5" t="str">
        <f>LEFT(I11,6)</f>
        <v>31.121</v>
      </c>
      <c r="G11" s="6" t="str">
        <f>LEFT(J11,8)</f>
        <v>-103.383</v>
      </c>
      <c r="H11" s="6"/>
      <c r="I11" s="6" t="str">
        <f>LEFT(L11,9)</f>
        <v>31.121140</v>
      </c>
      <c r="J11" s="6" t="str">
        <f>RIGHT(L11,11)</f>
        <v>-103.383535</v>
      </c>
      <c r="K11" s="6"/>
      <c r="L11" s="7" t="s">
        <v>246</v>
      </c>
    </row>
    <row r="12" spans="1:12" x14ac:dyDescent="0.25">
      <c r="A12" t="s">
        <v>161</v>
      </c>
      <c r="B12">
        <v>2801.93</v>
      </c>
      <c r="C12">
        <v>2891.57</v>
      </c>
      <c r="D12">
        <v>38.840000000000003</v>
      </c>
      <c r="F12" s="5" t="str">
        <f>LEFT(I12,6)</f>
        <v>31.120</v>
      </c>
      <c r="G12" s="6" t="str">
        <f>LEFT(J12,8)</f>
        <v>-103.384</v>
      </c>
      <c r="H12" s="6"/>
      <c r="I12" s="6" t="str">
        <f>LEFT(L12,9)</f>
        <v>31.120055</v>
      </c>
      <c r="J12" s="6" t="str">
        <f>RIGHT(L12,11)</f>
        <v>-103.384876</v>
      </c>
      <c r="K12" s="6"/>
      <c r="L12" s="7" t="s">
        <v>245</v>
      </c>
    </row>
    <row r="13" spans="1:12" x14ac:dyDescent="0.25">
      <c r="A13" t="s">
        <v>162</v>
      </c>
      <c r="B13">
        <v>2805.21</v>
      </c>
      <c r="C13">
        <v>2896.04</v>
      </c>
      <c r="D13">
        <v>39.36</v>
      </c>
      <c r="F13" s="5" t="str">
        <f>LEFT(I13,6)</f>
        <v>31.122</v>
      </c>
      <c r="G13" s="6" t="str">
        <f>LEFT(J13,8)</f>
        <v>-103.387</v>
      </c>
      <c r="H13" s="6"/>
      <c r="I13" s="6" t="str">
        <f>LEFT(L13,9)</f>
        <v>31.122416</v>
      </c>
      <c r="J13" s="6" t="str">
        <f>RIGHT(L13,11)</f>
        <v>-103.387933</v>
      </c>
      <c r="K13" s="6"/>
      <c r="L13" s="7" t="s">
        <v>244</v>
      </c>
    </row>
    <row r="14" spans="1:12" x14ac:dyDescent="0.25">
      <c r="A14" t="s">
        <v>163</v>
      </c>
      <c r="B14">
        <v>2798.89</v>
      </c>
      <c r="C14">
        <v>2857.14</v>
      </c>
      <c r="D14">
        <v>25.24</v>
      </c>
      <c r="F14" s="5" t="str">
        <f>LEFT(I14,6)</f>
        <v>31.124</v>
      </c>
      <c r="G14" s="6" t="str">
        <f>LEFT(J14,8)</f>
        <v>-103.377</v>
      </c>
      <c r="H14" s="6"/>
      <c r="I14" s="6" t="str">
        <f>LEFT(L14,9)</f>
        <v>31.124139</v>
      </c>
      <c r="J14" s="6" t="str">
        <f>RIGHT(L14,11)</f>
        <v>-103.377571</v>
      </c>
      <c r="K14" s="6"/>
      <c r="L14" s="7" t="s">
        <v>248</v>
      </c>
    </row>
    <row r="15" spans="1:12" x14ac:dyDescent="0.25">
      <c r="A15" t="s">
        <v>164</v>
      </c>
      <c r="B15">
        <v>2796.07</v>
      </c>
      <c r="C15">
        <v>2859.09</v>
      </c>
      <c r="D15">
        <v>27.31</v>
      </c>
      <c r="F15" s="5" t="str">
        <f>LEFT(I15,6)</f>
        <v>31.126</v>
      </c>
      <c r="G15" s="6" t="str">
        <f>LEFT(J15,8)</f>
        <v>-103.382</v>
      </c>
      <c r="H15" s="6"/>
      <c r="I15" s="6" t="str">
        <f>LEFT(L15,9)</f>
        <v>31.126755</v>
      </c>
      <c r="J15" s="6" t="str">
        <f>RIGHT(L15,11)</f>
        <v>-103.382640</v>
      </c>
      <c r="K15" s="6"/>
      <c r="L15" s="7" t="s">
        <v>251</v>
      </c>
    </row>
    <row r="16" spans="1:12" x14ac:dyDescent="0.25">
      <c r="A16" t="s">
        <v>165</v>
      </c>
      <c r="B16">
        <v>2804.19</v>
      </c>
      <c r="C16">
        <v>2905.82</v>
      </c>
      <c r="D16">
        <v>44.04</v>
      </c>
      <c r="F16" s="5" t="str">
        <f>LEFT(I16,6)</f>
        <v>31.123</v>
      </c>
      <c r="G16" s="6" t="str">
        <f>LEFT(J16,8)</f>
        <v>-103.368</v>
      </c>
      <c r="H16" s="6"/>
      <c r="I16" s="6" t="str">
        <f>LEFT(L16,9)</f>
        <v>31.123373</v>
      </c>
      <c r="J16" s="6" t="str">
        <f>RIGHT(L16,11)</f>
        <v>-103.368104</v>
      </c>
      <c r="K16" s="6"/>
      <c r="L16" s="7" t="s">
        <v>260</v>
      </c>
    </row>
    <row r="17" spans="1:12" x14ac:dyDescent="0.25">
      <c r="A17" t="s">
        <v>166</v>
      </c>
      <c r="B17">
        <v>2806.95</v>
      </c>
      <c r="C17">
        <v>2924.3</v>
      </c>
      <c r="D17">
        <v>50.85</v>
      </c>
      <c r="F17" s="5" t="str">
        <f>LEFT(I17,6)</f>
        <v>31.121</v>
      </c>
      <c r="G17" s="6" t="str">
        <f>LEFT(J17,8)</f>
        <v>-103.361</v>
      </c>
      <c r="H17" s="6"/>
      <c r="I17" s="6" t="str">
        <f>LEFT(L17,9)</f>
        <v>31.121522</v>
      </c>
      <c r="J17" s="6" t="str">
        <f>RIGHT(L17,11)</f>
        <v>-103.361768</v>
      </c>
      <c r="K17" s="6"/>
      <c r="L17" s="7" t="s">
        <v>263</v>
      </c>
    </row>
    <row r="18" spans="1:12" x14ac:dyDescent="0.25">
      <c r="A18" t="s">
        <v>167</v>
      </c>
      <c r="B18">
        <v>2813.46</v>
      </c>
      <c r="C18">
        <v>2946.28</v>
      </c>
      <c r="D18">
        <v>57.55</v>
      </c>
      <c r="F18" s="5" t="str">
        <f>LEFT(I18,6)</f>
        <v>31.119</v>
      </c>
      <c r="G18" s="6" t="str">
        <f>LEFT(J18,8)</f>
        <v>-103.356</v>
      </c>
      <c r="H18" s="6"/>
      <c r="I18" s="6" t="str">
        <f>LEFT(L18,9)</f>
        <v>31.119544</v>
      </c>
      <c r="J18" s="6" t="str">
        <f>RIGHT(L18,11)</f>
        <v>-103.356699</v>
      </c>
      <c r="K18" s="6"/>
      <c r="L18" s="7" t="s">
        <v>265</v>
      </c>
    </row>
    <row r="19" spans="1:12" x14ac:dyDescent="0.25">
      <c r="A19" t="s">
        <v>168</v>
      </c>
      <c r="B19">
        <v>2802.59</v>
      </c>
      <c r="C19">
        <v>2943.72</v>
      </c>
      <c r="D19">
        <v>61.15</v>
      </c>
      <c r="F19" s="5" t="str">
        <f>LEFT(I19,6)</f>
        <v>31.126</v>
      </c>
      <c r="G19" s="6" t="str">
        <f>LEFT(J19,8)</f>
        <v>-103.356</v>
      </c>
      <c r="H19" s="6"/>
      <c r="I19" s="6" t="str">
        <f>LEFT(L19,9)</f>
        <v>31.126564</v>
      </c>
      <c r="J19" s="6" t="str">
        <f>RIGHT(L19,11)</f>
        <v>-103.356476</v>
      </c>
      <c r="K19" s="6"/>
      <c r="L19" s="7" t="s">
        <v>270</v>
      </c>
    </row>
    <row r="20" spans="1:12" x14ac:dyDescent="0.25">
      <c r="A20" t="s">
        <v>169</v>
      </c>
      <c r="B20">
        <v>2820.27</v>
      </c>
      <c r="C20">
        <v>2951.23</v>
      </c>
      <c r="D20">
        <v>56.74</v>
      </c>
      <c r="F20" s="5" t="str">
        <f>LEFT(I20,6)</f>
        <v>31.113</v>
      </c>
      <c r="G20" s="6" t="str">
        <f>LEFT(J20,8)</f>
        <v>-103.357</v>
      </c>
      <c r="H20" s="6"/>
      <c r="I20" s="6" t="str">
        <f>LEFT(L20,9)</f>
        <v>31.113737</v>
      </c>
      <c r="J20" s="6" t="str">
        <f>RIGHT(L20,11)</f>
        <v>-103.357445</v>
      </c>
      <c r="K20" s="6"/>
      <c r="L20" s="7" t="s">
        <v>268</v>
      </c>
    </row>
    <row r="21" spans="1:12" x14ac:dyDescent="0.25">
      <c r="A21" t="s">
        <v>170</v>
      </c>
      <c r="B21">
        <v>2812.2</v>
      </c>
      <c r="C21">
        <v>2938.28</v>
      </c>
      <c r="D21">
        <v>54.63</v>
      </c>
      <c r="F21" s="5" t="str">
        <f>LEFT(I21,6)</f>
        <v>31.120</v>
      </c>
      <c r="G21" s="6" t="str">
        <f>LEFT(J21,8)</f>
        <v>-103.359</v>
      </c>
      <c r="H21" s="6"/>
      <c r="I21" s="6" t="str">
        <f>LEFT(L21,9)</f>
        <v>31.120310</v>
      </c>
      <c r="J21" s="6" t="str">
        <f>RIGHT(L21,11)</f>
        <v>-103.359532</v>
      </c>
      <c r="K21" s="6"/>
      <c r="L21" s="7" t="s">
        <v>264</v>
      </c>
    </row>
    <row r="22" spans="1:12" x14ac:dyDescent="0.25">
      <c r="A22" t="s">
        <v>171</v>
      </c>
      <c r="B22">
        <v>2806.2</v>
      </c>
      <c r="C22">
        <v>2913.97</v>
      </c>
      <c r="D22">
        <v>46.7</v>
      </c>
      <c r="F22" s="5" t="str">
        <f>LEFT(I22,6)</f>
        <v>31.122</v>
      </c>
      <c r="G22" s="6" t="str">
        <f>LEFT(J22,8)</f>
        <v>-103.366</v>
      </c>
      <c r="H22" s="6"/>
      <c r="I22" s="6" t="str">
        <f>LEFT(L22,9)</f>
        <v>31.122863</v>
      </c>
      <c r="J22" s="6" t="str">
        <f>RIGHT(L22,11)</f>
        <v>-103.366017</v>
      </c>
      <c r="K22" s="6"/>
      <c r="L22" s="7" t="s">
        <v>261</v>
      </c>
    </row>
    <row r="23" spans="1:12" x14ac:dyDescent="0.25">
      <c r="A23" t="s">
        <v>172</v>
      </c>
      <c r="B23">
        <v>2810.37</v>
      </c>
      <c r="C23">
        <v>2919.05</v>
      </c>
      <c r="D23">
        <v>47.09</v>
      </c>
      <c r="F23" s="5" t="str">
        <f>LEFT(I23,6)</f>
        <v>31.117</v>
      </c>
      <c r="G23" s="6" t="str">
        <f>LEFT(J23,8)</f>
        <v>-103.368</v>
      </c>
      <c r="H23" s="6"/>
      <c r="I23" s="6" t="str">
        <f>LEFT(L23,9)</f>
        <v>31.117247</v>
      </c>
      <c r="J23" s="6" t="str">
        <f>RIGHT(L23,11)</f>
        <v>-103.368104</v>
      </c>
      <c r="K23" s="6"/>
      <c r="L23" s="7" t="s">
        <v>262</v>
      </c>
    </row>
    <row r="24" spans="1:12" x14ac:dyDescent="0.25">
      <c r="A24" t="s">
        <v>173</v>
      </c>
      <c r="B24">
        <v>2599</v>
      </c>
      <c r="C24">
        <v>2618.17</v>
      </c>
      <c r="D24">
        <v>8.31</v>
      </c>
      <c r="F24" s="5" t="str">
        <f>LEFT(I24,6)</f>
        <v>31.386</v>
      </c>
      <c r="G24" s="6" t="str">
        <f>LEFT(J24,8)</f>
        <v>-103.504</v>
      </c>
      <c r="H24" s="6"/>
      <c r="I24" s="6" t="str">
        <f>LEFT(L24,8)</f>
        <v>31.38660</v>
      </c>
      <c r="J24" s="6" t="str">
        <f>RIGHT(L24,10)</f>
        <v>-103.50486</v>
      </c>
      <c r="K24" s="6"/>
      <c r="L24" s="7" t="s">
        <v>238</v>
      </c>
    </row>
    <row r="25" spans="1:12" x14ac:dyDescent="0.25">
      <c r="A25" t="s">
        <v>174</v>
      </c>
      <c r="B25">
        <v>2590</v>
      </c>
      <c r="C25">
        <v>2625.9</v>
      </c>
      <c r="D25">
        <v>15.56</v>
      </c>
      <c r="F25" s="5" t="str">
        <f>LEFT(I25,6)</f>
        <v>31.383</v>
      </c>
      <c r="G25" s="6" t="str">
        <f>LEFT(J25,8)</f>
        <v>-103.490</v>
      </c>
      <c r="H25" s="6"/>
      <c r="I25" s="6" t="str">
        <f>LEFT(L25,8)</f>
        <v>31.38396</v>
      </c>
      <c r="J25" s="6" t="str">
        <f>RIGHT(L25,10)</f>
        <v>-103.49074</v>
      </c>
      <c r="K25" s="6"/>
      <c r="L25" s="7" t="s">
        <v>237</v>
      </c>
    </row>
    <row r="26" spans="1:12" x14ac:dyDescent="0.25">
      <c r="A26" t="s">
        <v>175</v>
      </c>
      <c r="B26">
        <v>2590</v>
      </c>
      <c r="C26">
        <v>2627.46</v>
      </c>
      <c r="D26">
        <v>16.23</v>
      </c>
      <c r="F26" s="5" t="str">
        <f>LEFT(I26,6)</f>
        <v>31.386</v>
      </c>
      <c r="G26" s="6" t="str">
        <f>LEFT(J26,8)</f>
        <v>-103.490</v>
      </c>
      <c r="H26" s="6"/>
      <c r="I26" s="6" t="str">
        <f>LEFT(L26,8)</f>
        <v>31.38669</v>
      </c>
      <c r="J26" s="6" t="str">
        <f>RIGHT(L26,10)</f>
        <v>-103.49036</v>
      </c>
      <c r="K26" s="6"/>
      <c r="L26" s="7" t="s">
        <v>236</v>
      </c>
    </row>
    <row r="27" spans="1:12" x14ac:dyDescent="0.25">
      <c r="A27" t="s">
        <v>176</v>
      </c>
      <c r="B27">
        <v>2572</v>
      </c>
      <c r="C27">
        <v>2639.5</v>
      </c>
      <c r="D27">
        <v>29.25</v>
      </c>
      <c r="F27" s="5" t="str">
        <f>LEFT(I27,6)</f>
        <v>31.383</v>
      </c>
      <c r="G27" s="6" t="str">
        <f>LEFT(J27,8)</f>
        <v>-103.468</v>
      </c>
      <c r="H27" s="6"/>
      <c r="I27" s="6" t="str">
        <f>LEFT(L27,8)</f>
        <v>31.38387</v>
      </c>
      <c r="J27" s="6" t="str">
        <f>RIGHT(L27,10)</f>
        <v>-103.46831</v>
      </c>
      <c r="K27" s="6"/>
      <c r="L27" s="7" t="s">
        <v>233</v>
      </c>
    </row>
    <row r="28" spans="1:12" x14ac:dyDescent="0.25">
      <c r="A28" t="s">
        <v>177</v>
      </c>
      <c r="B28">
        <v>2567</v>
      </c>
      <c r="C28">
        <v>2664.49</v>
      </c>
      <c r="D28">
        <v>42.24</v>
      </c>
      <c r="F28" s="5" t="str">
        <f>LEFT(I28,6)</f>
        <v>31.348</v>
      </c>
      <c r="G28" s="6" t="str">
        <f>LEFT(J28,8)</f>
        <v>-103.437</v>
      </c>
      <c r="H28" s="6"/>
      <c r="I28" s="6" t="str">
        <f>LEFT(L28,8)</f>
        <v>31.34894</v>
      </c>
      <c r="J28" s="6" t="str">
        <f>RIGHT(L28,10)</f>
        <v>-103.43765</v>
      </c>
      <c r="K28" s="6"/>
      <c r="L28" s="7" t="s">
        <v>232</v>
      </c>
    </row>
    <row r="29" spans="1:12" x14ac:dyDescent="0.25">
      <c r="A29" t="s">
        <v>178</v>
      </c>
      <c r="B29">
        <v>2572</v>
      </c>
      <c r="C29">
        <v>2690.14</v>
      </c>
      <c r="D29">
        <v>51.19</v>
      </c>
      <c r="F29" s="5" t="str">
        <f>LEFT(I29,6)</f>
        <v>31.316</v>
      </c>
      <c r="G29" s="6" t="str">
        <f>LEFT(J29,8)</f>
        <v>-103.424</v>
      </c>
      <c r="H29" s="6"/>
      <c r="I29" s="6" t="str">
        <f>LEFT(L29,8)</f>
        <v>31.31636</v>
      </c>
      <c r="J29" s="6" t="str">
        <f>RIGHT(L29,10)</f>
        <v>-103.42441</v>
      </c>
      <c r="K29" s="6"/>
      <c r="L29" s="7" t="s">
        <v>228</v>
      </c>
    </row>
    <row r="30" spans="1:12" x14ac:dyDescent="0.25">
      <c r="A30" t="s">
        <v>179</v>
      </c>
      <c r="B30">
        <v>2628</v>
      </c>
      <c r="C30">
        <v>2724.05</v>
      </c>
      <c r="D30">
        <v>41.62</v>
      </c>
      <c r="F30" s="5" t="str">
        <f>LEFT(I30,6)</f>
        <v>31.276</v>
      </c>
      <c r="G30" s="6" t="str">
        <f>LEFT(J30,8)</f>
        <v>-103.381</v>
      </c>
      <c r="H30" s="6"/>
      <c r="I30" s="6" t="str">
        <f>LEFT(L30,8)</f>
        <v>31.27691</v>
      </c>
      <c r="J30" s="6" t="str">
        <f>RIGHT(L30,10)</f>
        <v>-103.38167</v>
      </c>
      <c r="K30" s="6"/>
      <c r="L30" s="7" t="s">
        <v>216</v>
      </c>
    </row>
    <row r="31" spans="1:12" x14ac:dyDescent="0.25">
      <c r="A31" t="s">
        <v>180</v>
      </c>
      <c r="B31">
        <v>2634</v>
      </c>
      <c r="C31">
        <v>2730.78</v>
      </c>
      <c r="D31">
        <v>41.93</v>
      </c>
      <c r="F31" s="5" t="str">
        <f>LEFT(I31,6)</f>
        <v>31.266</v>
      </c>
      <c r="G31" s="6" t="str">
        <f>LEFT(J31,8)</f>
        <v>-103.381</v>
      </c>
      <c r="H31" s="6"/>
      <c r="I31" s="6" t="str">
        <f>LEFT(L31,8)</f>
        <v>31.26616</v>
      </c>
      <c r="J31" s="6" t="str">
        <f>RIGHT(L31,10)</f>
        <v>-103.38155</v>
      </c>
      <c r="K31" s="6"/>
      <c r="L31" s="7" t="s">
        <v>215</v>
      </c>
    </row>
    <row r="32" spans="1:12" x14ac:dyDescent="0.25">
      <c r="A32" t="s">
        <v>181</v>
      </c>
      <c r="B32">
        <v>2658</v>
      </c>
      <c r="C32">
        <v>2737.77</v>
      </c>
      <c r="D32">
        <v>34.56</v>
      </c>
      <c r="F32" s="5" t="str">
        <f>LEFT(I32,6)</f>
        <v>31.258</v>
      </c>
      <c r="G32" s="6" t="str">
        <f>LEFT(J32,8)</f>
        <v>-103.372</v>
      </c>
      <c r="H32" s="6"/>
      <c r="I32" s="6" t="str">
        <f>LEFT(L32,8)</f>
        <v>31.25874</v>
      </c>
      <c r="J32" s="6" t="str">
        <f>RIGHT(L32,10)</f>
        <v>-103.37241</v>
      </c>
      <c r="K32" s="6"/>
      <c r="L32" s="7" t="s">
        <v>214</v>
      </c>
    </row>
    <row r="33" spans="1:12" x14ac:dyDescent="0.25">
      <c r="A33" s="12" t="s">
        <v>182</v>
      </c>
      <c r="B33" s="12">
        <v>2770</v>
      </c>
      <c r="C33" s="12">
        <v>2779.14</v>
      </c>
      <c r="D33" s="12">
        <v>3.96</v>
      </c>
      <c r="E33" s="12"/>
      <c r="F33" s="5" t="str">
        <f>LEFT(I33,6)</f>
        <v>31.179</v>
      </c>
      <c r="G33" s="6" t="str">
        <f>LEFT(J33,8)</f>
        <v>-103.372</v>
      </c>
      <c r="H33" s="6"/>
      <c r="I33" s="6" t="str">
        <f>LEFT(L33,8)</f>
        <v>31.17947</v>
      </c>
      <c r="J33" s="6" t="str">
        <f>RIGHT(L33,10)</f>
        <v>-103.37287</v>
      </c>
      <c r="K33" s="6"/>
      <c r="L33" s="7" t="s">
        <v>219</v>
      </c>
    </row>
    <row r="34" spans="1:12" x14ac:dyDescent="0.25">
      <c r="A34" t="s">
        <v>183</v>
      </c>
      <c r="B34">
        <v>2770</v>
      </c>
      <c r="C34">
        <v>2782.65</v>
      </c>
      <c r="D34">
        <v>5.48</v>
      </c>
      <c r="F34" s="5" t="str">
        <f>LEFT(I34,6)</f>
        <v>31.174</v>
      </c>
      <c r="G34" s="6" t="str">
        <f>LEFT(J34,8)</f>
        <v>-103.373</v>
      </c>
      <c r="H34" s="6"/>
      <c r="I34" s="6" t="str">
        <f>LEFT(L34,8)</f>
        <v>31.17498</v>
      </c>
      <c r="J34" s="6" t="str">
        <f>RIGHT(L34,10)</f>
        <v>-103.37321</v>
      </c>
      <c r="K34" s="6"/>
      <c r="L34" s="7" t="s">
        <v>221</v>
      </c>
    </row>
    <row r="35" spans="1:12" x14ac:dyDescent="0.25">
      <c r="A35" t="s">
        <v>184</v>
      </c>
      <c r="B35">
        <v>2735</v>
      </c>
      <c r="C35">
        <v>2756.56</v>
      </c>
      <c r="D35">
        <v>9.34</v>
      </c>
      <c r="F35" s="5" t="str">
        <f>LEFT(I35,6)</f>
        <v>31.204</v>
      </c>
      <c r="G35" s="6" t="str">
        <f>LEFT(J35,8)</f>
        <v>-103.372</v>
      </c>
      <c r="H35" s="6"/>
      <c r="I35" s="6" t="str">
        <f>LEFT(L35,8)</f>
        <v>31.20499</v>
      </c>
      <c r="J35" s="6" t="str">
        <f>RIGHT(L35,10)</f>
        <v>-103.37287</v>
      </c>
      <c r="K35" s="6"/>
      <c r="L35" s="7" t="s">
        <v>218</v>
      </c>
    </row>
    <row r="36" spans="1:12" x14ac:dyDescent="0.25">
      <c r="A36" t="s">
        <v>185</v>
      </c>
      <c r="B36">
        <v>2780</v>
      </c>
      <c r="C36">
        <v>2797.36</v>
      </c>
      <c r="D36">
        <v>7.52</v>
      </c>
      <c r="F36" s="5" t="str">
        <f>LEFT(I36,6)</f>
        <v>31.160</v>
      </c>
      <c r="G36" s="6" t="str">
        <f>LEFT(J36,8)</f>
        <v>-103.373</v>
      </c>
      <c r="H36" s="6"/>
      <c r="I36" s="6" t="str">
        <f>LEFT(L36,8)</f>
        <v>31.16099</v>
      </c>
      <c r="J36" s="6" t="str">
        <f>RIGHT(L36,10)</f>
        <v>-103.37332</v>
      </c>
      <c r="K36" s="6"/>
      <c r="L36" s="7" t="s">
        <v>222</v>
      </c>
    </row>
    <row r="37" spans="1:12" x14ac:dyDescent="0.25">
      <c r="A37" t="s">
        <v>186</v>
      </c>
      <c r="B37">
        <v>2680</v>
      </c>
      <c r="C37">
        <v>2746.88</v>
      </c>
      <c r="D37">
        <v>28.98</v>
      </c>
      <c r="F37" s="5" t="str">
        <f>LEFT(I37,6)</f>
        <v>31.229</v>
      </c>
      <c r="G37" s="6" t="str">
        <f>LEFT(J37,8)</f>
        <v>-103.372</v>
      </c>
      <c r="H37" s="6"/>
      <c r="I37" s="6" t="str">
        <f>LEFT(L37,8)</f>
        <v>31.22982</v>
      </c>
      <c r="J37" s="6" t="str">
        <f>RIGHT(L37,10)</f>
        <v>-103.37275</v>
      </c>
      <c r="K37" s="6"/>
      <c r="L37" s="7" t="s">
        <v>217</v>
      </c>
    </row>
    <row r="38" spans="1:12" x14ac:dyDescent="0.25">
      <c r="A38" t="s">
        <v>187</v>
      </c>
      <c r="B38">
        <v>2793</v>
      </c>
      <c r="C38">
        <v>2805.2</v>
      </c>
      <c r="D38">
        <v>5.29</v>
      </c>
      <c r="F38" s="5" t="str">
        <f>LEFT(I38,6)</f>
        <v>31.141</v>
      </c>
      <c r="G38" s="6" t="str">
        <f>LEFT(J38,8)</f>
        <v>-103.373</v>
      </c>
      <c r="H38" s="6"/>
      <c r="I38" s="6" t="str">
        <f>LEFT(L38,8)</f>
        <v>31.14124</v>
      </c>
      <c r="J38" s="6" t="str">
        <f>RIGHT(L38,10)</f>
        <v>-103.37367</v>
      </c>
      <c r="K38" s="6"/>
      <c r="L38" s="7" t="s">
        <v>224</v>
      </c>
    </row>
    <row r="39" spans="1:12" x14ac:dyDescent="0.25">
      <c r="A39" t="s">
        <v>188</v>
      </c>
      <c r="B39">
        <v>2794</v>
      </c>
      <c r="C39">
        <v>2803.97</v>
      </c>
      <c r="D39">
        <v>4.32</v>
      </c>
      <c r="F39" s="5" t="str">
        <f>LEFT(I39,6)</f>
        <v>31.144</v>
      </c>
      <c r="G39" s="6" t="str">
        <f>LEFT(J39,8)</f>
        <v>-103.373</v>
      </c>
      <c r="H39" s="6"/>
      <c r="I39" s="6" t="str">
        <f>LEFT(L39,8)</f>
        <v>31.14437</v>
      </c>
      <c r="J39" s="6" t="str">
        <f>RIGHT(L39,10)</f>
        <v>-103.37367</v>
      </c>
      <c r="K39" s="6"/>
      <c r="L39" s="7" t="s">
        <v>223</v>
      </c>
    </row>
    <row r="40" spans="1:12" x14ac:dyDescent="0.25">
      <c r="A40" t="s">
        <v>189</v>
      </c>
      <c r="B40">
        <v>2771</v>
      </c>
      <c r="C40">
        <v>2781.51</v>
      </c>
      <c r="D40">
        <v>4.55</v>
      </c>
      <c r="F40" s="5" t="str">
        <f>LEFT(I40,6)</f>
        <v>31.176</v>
      </c>
      <c r="G40" s="6" t="str">
        <f>LEFT(J40,8)</f>
        <v>-103.375</v>
      </c>
      <c r="H40" s="6"/>
      <c r="I40" s="6" t="str">
        <f>LEFT(L40,8)</f>
        <v>31.17615</v>
      </c>
      <c r="J40" s="6" t="str">
        <f>RIGHT(L40,10)</f>
        <v>-103.37515</v>
      </c>
      <c r="K40" s="6"/>
      <c r="L40" s="7" t="s">
        <v>220</v>
      </c>
    </row>
    <row r="41" spans="1:12" x14ac:dyDescent="0.25">
      <c r="A41" t="s">
        <v>190</v>
      </c>
      <c r="B41">
        <v>2565</v>
      </c>
      <c r="C41">
        <v>2686.88</v>
      </c>
      <c r="D41">
        <v>52.81</v>
      </c>
      <c r="F41" s="5" t="str">
        <f>LEFT(I41,6)</f>
        <v>31.321</v>
      </c>
      <c r="G41" s="6" t="str">
        <f>LEFT(J41,8)</f>
        <v>-103.427</v>
      </c>
      <c r="H41" s="6"/>
      <c r="I41" s="6" t="str">
        <f>LEFT(L41,8)</f>
        <v>31.32163</v>
      </c>
      <c r="J41" s="6" t="str">
        <f>RIGHT(L41,10)</f>
        <v>-103.42740</v>
      </c>
      <c r="K41" s="6"/>
      <c r="L41" s="7" t="s">
        <v>231</v>
      </c>
    </row>
    <row r="42" spans="1:12" x14ac:dyDescent="0.25">
      <c r="A42" t="s">
        <v>191</v>
      </c>
      <c r="B42">
        <v>2571</v>
      </c>
      <c r="C42">
        <v>2636.57</v>
      </c>
      <c r="D42">
        <v>28.41</v>
      </c>
      <c r="F42" s="5" t="str">
        <f>LEFT(I42,6)</f>
        <v>31.384</v>
      </c>
      <c r="G42" s="6" t="str">
        <f>LEFT(J42,8)</f>
        <v>-103.473</v>
      </c>
      <c r="H42" s="6"/>
      <c r="I42" s="6" t="str">
        <f>LEFT(L42,8)</f>
        <v>31.38481</v>
      </c>
      <c r="J42" s="6" t="str">
        <f>RIGHT(L42,10)</f>
        <v>-103.47349</v>
      </c>
      <c r="K42" s="6"/>
      <c r="L42" s="7" t="s">
        <v>234</v>
      </c>
    </row>
    <row r="43" spans="1:12" x14ac:dyDescent="0.25">
      <c r="A43" t="s">
        <v>192</v>
      </c>
      <c r="B43">
        <v>2581</v>
      </c>
      <c r="C43">
        <v>2631.97</v>
      </c>
      <c r="D43">
        <v>22.09</v>
      </c>
      <c r="F43" s="5" t="str">
        <f>LEFT(I43,6)</f>
        <v>31.385</v>
      </c>
      <c r="G43" s="6" t="str">
        <f>LEFT(J43,8)</f>
        <v>-103.482</v>
      </c>
      <c r="H43" s="6"/>
      <c r="I43" s="6" t="str">
        <f>LEFT(L43,8)</f>
        <v>31.38509</v>
      </c>
      <c r="J43" s="6" t="str">
        <f>RIGHT(L43,10)</f>
        <v>-103.48242</v>
      </c>
      <c r="K43" s="6"/>
      <c r="L43" s="7" t="s">
        <v>235</v>
      </c>
    </row>
    <row r="44" spans="1:12" x14ac:dyDescent="0.25">
      <c r="A44" t="s">
        <v>193</v>
      </c>
      <c r="B44">
        <v>2806</v>
      </c>
      <c r="C44">
        <v>2890.15</v>
      </c>
      <c r="D44">
        <v>36.46</v>
      </c>
      <c r="F44" s="5" t="str">
        <f>LEFT(I44,6)</f>
        <v>31.119</v>
      </c>
      <c r="G44" s="6" t="str">
        <f>LEFT(J44,8)</f>
        <v>-103.380</v>
      </c>
      <c r="H44" s="6"/>
      <c r="I44" s="6" t="str">
        <f>LEFT(L44,8)</f>
        <v>31.11903</v>
      </c>
      <c r="J44" s="6" t="str">
        <f>RIGHT(L44,11)</f>
        <v>-103.380702</v>
      </c>
      <c r="K44" s="6"/>
      <c r="L44" s="7" t="s">
        <v>243</v>
      </c>
    </row>
    <row r="45" spans="1:12" x14ac:dyDescent="0.25">
      <c r="A45" t="s">
        <v>194</v>
      </c>
      <c r="B45">
        <v>2804.14</v>
      </c>
      <c r="C45">
        <v>2897.69</v>
      </c>
      <c r="D45">
        <v>40.53</v>
      </c>
      <c r="F45" s="5" t="str">
        <f>LEFT(I45,6)</f>
        <v>31.115</v>
      </c>
      <c r="G45" s="6" t="str">
        <f>LEFT(J45,8)</f>
        <v>-103.388</v>
      </c>
      <c r="H45" s="6"/>
      <c r="I45" s="6" t="str">
        <f>LEFT(L45,9)</f>
        <v>31.115907</v>
      </c>
      <c r="J45" s="6" t="str">
        <f>RIGHT(L45,11)</f>
        <v>-103.388827</v>
      </c>
      <c r="K45" s="6"/>
      <c r="L45" s="7" t="s">
        <v>242</v>
      </c>
    </row>
    <row r="46" spans="1:12" x14ac:dyDescent="0.25">
      <c r="A46" t="s">
        <v>195</v>
      </c>
      <c r="B46">
        <v>2804.19</v>
      </c>
      <c r="C46">
        <v>2905.88</v>
      </c>
      <c r="D46">
        <v>44.06</v>
      </c>
      <c r="F46" s="5" t="str">
        <f>LEFT(I46,6)</f>
        <v>31.124</v>
      </c>
      <c r="G46" s="6" t="str">
        <f>LEFT(J46,8)</f>
        <v>-103.367</v>
      </c>
      <c r="H46" s="6"/>
      <c r="I46" s="6" t="str">
        <f>LEFT(L46,9)</f>
        <v>31.124011</v>
      </c>
      <c r="J46" s="6" t="str">
        <f>RIGHT(L46,11)</f>
        <v>-103.367881</v>
      </c>
      <c r="K46" s="6"/>
      <c r="L46" s="7" t="s">
        <v>259</v>
      </c>
    </row>
    <row r="47" spans="1:12" x14ac:dyDescent="0.25">
      <c r="A47" t="s">
        <v>196</v>
      </c>
      <c r="B47">
        <v>2798.89</v>
      </c>
      <c r="C47">
        <v>2857.2</v>
      </c>
      <c r="D47">
        <v>25.26</v>
      </c>
      <c r="F47" s="5" t="str">
        <f>LEFT(I47,6)</f>
        <v>31.124</v>
      </c>
      <c r="G47" s="6" t="str">
        <f>LEFT(J47,8)</f>
        <v>-103.377</v>
      </c>
      <c r="H47" s="6"/>
      <c r="I47" s="6" t="str">
        <f>LEFT(L47,9)</f>
        <v>31.124649</v>
      </c>
      <c r="J47" s="6" t="str">
        <f>RIGHT(L47,11)</f>
        <v>-103.377198</v>
      </c>
      <c r="K47" s="6"/>
      <c r="L47" s="7" t="s">
        <v>247</v>
      </c>
    </row>
    <row r="48" spans="1:12" x14ac:dyDescent="0.25">
      <c r="A48" t="s">
        <v>197</v>
      </c>
      <c r="B48">
        <v>2787.48</v>
      </c>
      <c r="C48">
        <v>2837.81</v>
      </c>
      <c r="D48">
        <v>21.81</v>
      </c>
      <c r="F48" s="5" t="str">
        <f>LEFT(I48,6)</f>
        <v>31.130</v>
      </c>
      <c r="G48" s="6" t="str">
        <f>LEFT(J48,8)</f>
        <v>-103.377</v>
      </c>
      <c r="H48" s="6"/>
      <c r="I48" s="6" t="str">
        <f>LEFT(L48,9)</f>
        <v>31.130966</v>
      </c>
      <c r="J48" s="6" t="str">
        <f>RIGHT(L48,11)</f>
        <v>-103.377124</v>
      </c>
      <c r="K48" s="6"/>
      <c r="L48" s="7" t="s">
        <v>253</v>
      </c>
    </row>
    <row r="49" spans="1:12" x14ac:dyDescent="0.25">
      <c r="A49" t="s">
        <v>198</v>
      </c>
      <c r="B49">
        <v>2781.53</v>
      </c>
      <c r="C49">
        <v>2830.97</v>
      </c>
      <c r="D49">
        <v>21.42</v>
      </c>
      <c r="F49" s="5" t="str">
        <f>LEFT(I49,6)</f>
        <v>31.135</v>
      </c>
      <c r="G49" s="6" t="str">
        <f>LEFT(J49,8)</f>
        <v>-103.380</v>
      </c>
      <c r="H49" s="6"/>
      <c r="I49" s="6" t="str">
        <f>LEFT(L49,9)</f>
        <v>31.135816</v>
      </c>
      <c r="J49" s="6" t="str">
        <f>RIGHT(L49,11)</f>
        <v>-103.380851</v>
      </c>
      <c r="K49" s="6"/>
      <c r="L49" s="7" t="s">
        <v>256</v>
      </c>
    </row>
    <row r="50" spans="1:12" x14ac:dyDescent="0.25">
      <c r="A50" t="s">
        <v>199</v>
      </c>
      <c r="B50">
        <v>2792.37</v>
      </c>
      <c r="C50">
        <v>2823.12</v>
      </c>
      <c r="D50">
        <v>13.32</v>
      </c>
      <c r="F50" s="5" t="str">
        <f>LEFT(I50,6)</f>
        <v>31.135</v>
      </c>
      <c r="G50" s="6" t="str">
        <f>LEFT(J50,8)</f>
        <v>-103.373</v>
      </c>
      <c r="H50" s="6"/>
      <c r="I50" s="6" t="str">
        <f>LEFT(L50,9)</f>
        <v>31.135433</v>
      </c>
      <c r="J50" s="6" t="str">
        <f>RIGHT(L50,11)</f>
        <v>-103.373919</v>
      </c>
      <c r="K50" s="6"/>
      <c r="L50" s="7" t="s">
        <v>257</v>
      </c>
    </row>
    <row r="51" spans="1:12" x14ac:dyDescent="0.25">
      <c r="A51" t="s">
        <v>200</v>
      </c>
      <c r="B51">
        <v>2820.27</v>
      </c>
      <c r="C51">
        <v>2951.05</v>
      </c>
      <c r="D51">
        <v>56.67</v>
      </c>
      <c r="F51" s="5" t="str">
        <f>LEFT(I51,6)</f>
        <v>31.113</v>
      </c>
      <c r="G51" s="6" t="str">
        <f>LEFT(J51,8)</f>
        <v>-103.357</v>
      </c>
      <c r="H51" s="6"/>
      <c r="I51" s="6" t="str">
        <f>LEFT(L51,9)</f>
        <v>31.113737</v>
      </c>
      <c r="J51" s="6" t="str">
        <f>RIGHT(L51,11)</f>
        <v>-103.357445</v>
      </c>
      <c r="K51" s="6"/>
      <c r="L51" s="7" t="s">
        <v>268</v>
      </c>
    </row>
    <row r="52" spans="1:12" x14ac:dyDescent="0.25">
      <c r="A52" t="s">
        <v>201</v>
      </c>
      <c r="B52">
        <v>2813.46</v>
      </c>
      <c r="C52">
        <v>2946.52</v>
      </c>
      <c r="D52">
        <v>57.65</v>
      </c>
      <c r="F52" s="5" t="str">
        <f>LEFT(I52,6)</f>
        <v>31.119</v>
      </c>
      <c r="G52" s="6" t="str">
        <f>LEFT(J52,8)</f>
        <v>-103.356</v>
      </c>
      <c r="H52" s="6"/>
      <c r="I52" s="6" t="str">
        <f>LEFT(L52,9)</f>
        <v>31.119544</v>
      </c>
      <c r="J52" s="6" t="str">
        <f>RIGHT(L52,11)</f>
        <v>-103.356699</v>
      </c>
      <c r="K52" s="6"/>
      <c r="L52" s="7" t="s">
        <v>265</v>
      </c>
    </row>
    <row r="53" spans="1:12" x14ac:dyDescent="0.25">
      <c r="A53" t="s">
        <v>202</v>
      </c>
      <c r="B53">
        <v>2802.59</v>
      </c>
      <c r="C53">
        <v>2944.86</v>
      </c>
      <c r="D53">
        <v>61.65</v>
      </c>
      <c r="F53" s="5" t="str">
        <f>LEFT(I53,6)</f>
        <v>31.126</v>
      </c>
      <c r="G53" s="6" t="str">
        <f>LEFT(J53,8)</f>
        <v>-103.356</v>
      </c>
      <c r="H53" s="6"/>
      <c r="I53" s="6" t="str">
        <f>LEFT(L53,9)</f>
        <v>31.126564</v>
      </c>
      <c r="J53" s="6" t="str">
        <f>RIGHT(L53,11)</f>
        <v>-103.356476</v>
      </c>
      <c r="K53" s="6"/>
      <c r="L53" s="7" t="s">
        <v>270</v>
      </c>
    </row>
    <row r="54" spans="1:12" x14ac:dyDescent="0.25">
      <c r="A54" t="s">
        <v>203</v>
      </c>
      <c r="B54">
        <v>2806.95</v>
      </c>
      <c r="C54">
        <v>2925.46</v>
      </c>
      <c r="D54">
        <v>51.35</v>
      </c>
      <c r="F54" s="5" t="str">
        <f>LEFT(I54,6)</f>
        <v>31.121</v>
      </c>
      <c r="G54" s="6" t="str">
        <f>LEFT(J54,8)</f>
        <v>-103.361</v>
      </c>
      <c r="H54" s="6"/>
      <c r="I54" s="6" t="str">
        <f>LEFT(L54,9)</f>
        <v>31.121522</v>
      </c>
      <c r="J54" s="6" t="str">
        <f>RIGHT(L54,11)</f>
        <v>-103.361768</v>
      </c>
      <c r="K54" s="6"/>
      <c r="L54" s="7" t="s">
        <v>263</v>
      </c>
    </row>
    <row r="55" spans="1:12" x14ac:dyDescent="0.25">
      <c r="A55" t="s">
        <v>204</v>
      </c>
      <c r="B55">
        <v>2597</v>
      </c>
      <c r="C55">
        <v>2653.84</v>
      </c>
      <c r="D55">
        <v>24.63</v>
      </c>
      <c r="F55" s="5" t="str">
        <f>LEFT(I55,6)</f>
        <v>31.393</v>
      </c>
      <c r="G55" s="6" t="str">
        <f>LEFT(J55,8)</f>
        <v>-103.508</v>
      </c>
      <c r="H55" s="6"/>
      <c r="I55" s="6" t="str">
        <f>LEFT(L55,9)</f>
        <v>31.393299</v>
      </c>
      <c r="J55" s="6" t="str">
        <f>RIGHT(L55,11)</f>
        <v>-103.508289</v>
      </c>
      <c r="K55" s="6"/>
      <c r="L55" s="7" t="s">
        <v>241</v>
      </c>
    </row>
    <row r="56" spans="1:12" x14ac:dyDescent="0.25">
      <c r="A56" t="s">
        <v>205</v>
      </c>
      <c r="B56">
        <v>2597</v>
      </c>
      <c r="C56">
        <v>2611.27</v>
      </c>
      <c r="D56">
        <v>6.18</v>
      </c>
      <c r="F56" s="5" t="str">
        <f>LEFT(I56,6)</f>
        <v>31.393</v>
      </c>
      <c r="G56" s="6" t="str">
        <f>LEFT(J56,8)</f>
        <v>-103.508</v>
      </c>
      <c r="H56" s="6"/>
      <c r="I56" s="6" t="str">
        <f>LEFT(L56,9)</f>
        <v>31.393299</v>
      </c>
      <c r="J56" s="6" t="str">
        <f>RIGHT(L56,11)</f>
        <v>-103.508289</v>
      </c>
      <c r="K56" s="6"/>
      <c r="L56" s="7" t="s">
        <v>241</v>
      </c>
    </row>
    <row r="57" spans="1:12" x14ac:dyDescent="0.25">
      <c r="A57" t="s">
        <v>206</v>
      </c>
      <c r="B57">
        <v>2597</v>
      </c>
      <c r="C57">
        <v>2653.98</v>
      </c>
      <c r="D57">
        <v>24.69</v>
      </c>
      <c r="F57" s="5" t="str">
        <f>LEFT(I57,6)</f>
        <v>31.393</v>
      </c>
      <c r="G57" s="6" t="str">
        <f>LEFT(J57,8)</f>
        <v>-103.508</v>
      </c>
      <c r="H57" s="6"/>
      <c r="I57" s="6" t="str">
        <f>LEFT(L57,9)</f>
        <v>31.393299</v>
      </c>
      <c r="J57" s="6" t="str">
        <f>RIGHT(L57,11)</f>
        <v>-103.508289</v>
      </c>
      <c r="K57" s="6"/>
      <c r="L57" s="7" t="s">
        <v>241</v>
      </c>
    </row>
    <row r="58" spans="1:12" x14ac:dyDescent="0.25">
      <c r="A58" t="s">
        <v>207</v>
      </c>
      <c r="B58">
        <v>2597</v>
      </c>
      <c r="C58">
        <v>2613.19</v>
      </c>
      <c r="D58">
        <v>7.02</v>
      </c>
      <c r="F58" s="5" t="str">
        <f>LEFT(I58,6)</f>
        <v>31.393</v>
      </c>
      <c r="G58" s="6" t="str">
        <f>LEFT(J58,8)</f>
        <v>-103.508</v>
      </c>
      <c r="H58" s="6"/>
      <c r="I58" s="6" t="str">
        <f>LEFT(L58,9)</f>
        <v>31.393299</v>
      </c>
      <c r="J58" s="6" t="str">
        <f>RIGHT(L58,11)</f>
        <v>-103.508289</v>
      </c>
      <c r="K58" s="6"/>
      <c r="L58" s="7" t="s">
        <v>241</v>
      </c>
    </row>
    <row r="59" spans="1:12" x14ac:dyDescent="0.25">
      <c r="A59" t="s">
        <v>208</v>
      </c>
      <c r="B59">
        <v>2597</v>
      </c>
      <c r="C59">
        <v>2612.89</v>
      </c>
      <c r="D59">
        <v>6.89</v>
      </c>
      <c r="F59" s="5" t="str">
        <f>LEFT(I59,6)</f>
        <v>31.393</v>
      </c>
      <c r="G59" s="6" t="str">
        <f>LEFT(J59,8)</f>
        <v>-103.508</v>
      </c>
      <c r="H59" s="6"/>
      <c r="I59" s="6" t="str">
        <f>LEFT(L59,9)</f>
        <v>31.393299</v>
      </c>
      <c r="J59" s="6" t="str">
        <f>RIGHT(L59,11)</f>
        <v>-103.508289</v>
      </c>
      <c r="K59" s="6"/>
      <c r="L59" s="7" t="s">
        <v>241</v>
      </c>
    </row>
    <row r="60" spans="1:12" x14ac:dyDescent="0.25">
      <c r="A60" t="s">
        <v>209</v>
      </c>
      <c r="B60">
        <v>2792</v>
      </c>
      <c r="C60">
        <v>2805.38</v>
      </c>
      <c r="D60">
        <v>5.8</v>
      </c>
      <c r="F60" s="5" t="str">
        <f>LEFT(I60,6)</f>
        <v>31.141</v>
      </c>
      <c r="G60" s="6" t="str">
        <f>LEFT(J60,8)</f>
        <v>-103.375</v>
      </c>
      <c r="H60" s="6"/>
      <c r="I60" s="6" t="str">
        <f>LEFT(L60,9)</f>
        <v>31.141303</v>
      </c>
      <c r="J60" s="6" t="str">
        <f>RIGHT(L60,11)</f>
        <v>-103.375235</v>
      </c>
      <c r="K60" s="6"/>
      <c r="L60" s="7" t="s">
        <v>225</v>
      </c>
    </row>
    <row r="61" spans="1:12" x14ac:dyDescent="0.25">
      <c r="A61" t="s">
        <v>290</v>
      </c>
      <c r="B61">
        <v>2330</v>
      </c>
      <c r="C61">
        <v>2330</v>
      </c>
      <c r="D61">
        <v>0</v>
      </c>
      <c r="F61" s="5" t="str">
        <f>LEFT(I61,6)</f>
        <v>31.115</v>
      </c>
      <c r="G61" s="6" t="str">
        <f>LEFT(J61,8)</f>
        <v>-103.388</v>
      </c>
      <c r="H61" s="6"/>
      <c r="I61" s="6" t="str">
        <f>LEFT(L61,9)</f>
        <v>31.115907</v>
      </c>
      <c r="J61" s="6" t="str">
        <f>RIGHT(L61,11)</f>
        <v>-103.388827</v>
      </c>
      <c r="K61" s="6"/>
      <c r="L61" s="7" t="s">
        <v>242</v>
      </c>
    </row>
    <row r="62" spans="1:12" x14ac:dyDescent="0.25">
      <c r="A62" t="s">
        <v>291</v>
      </c>
      <c r="B62">
        <v>2330</v>
      </c>
      <c r="C62">
        <v>2330</v>
      </c>
      <c r="D62">
        <v>0</v>
      </c>
      <c r="F62" s="5" t="str">
        <f>LEFT(I62,6)</f>
        <v>31.119</v>
      </c>
      <c r="G62" s="6" t="str">
        <f>LEFT(J62,8)</f>
        <v>-103.380</v>
      </c>
      <c r="H62" s="6"/>
      <c r="I62" s="6" t="str">
        <f>LEFT(L62,9)</f>
        <v>31.119034</v>
      </c>
      <c r="J62" s="6" t="str">
        <f>RIGHT(L62,11)</f>
        <v>-103.380702</v>
      </c>
      <c r="K62" s="6"/>
      <c r="L62" s="7" t="s">
        <v>243</v>
      </c>
    </row>
    <row r="63" spans="1:12" x14ac:dyDescent="0.25">
      <c r="A63" t="s">
        <v>292</v>
      </c>
      <c r="B63">
        <v>2330</v>
      </c>
      <c r="C63">
        <v>2330</v>
      </c>
      <c r="D63">
        <v>0</v>
      </c>
      <c r="F63" s="5" t="str">
        <f>LEFT(I63,6)</f>
        <v>31.122</v>
      </c>
      <c r="G63" s="6" t="str">
        <f>LEFT(J63,8)</f>
        <v>-103.387</v>
      </c>
      <c r="H63" s="6"/>
      <c r="I63" s="6" t="str">
        <f>LEFT(L63,9)</f>
        <v>31.122416</v>
      </c>
      <c r="J63" s="6" t="str">
        <f>RIGHT(L63,11)</f>
        <v>-103.387933</v>
      </c>
      <c r="K63" s="6"/>
      <c r="L63" s="7" t="s">
        <v>244</v>
      </c>
    </row>
    <row r="64" spans="1:12" x14ac:dyDescent="0.25">
      <c r="A64" t="s">
        <v>293</v>
      </c>
      <c r="B64">
        <v>2330</v>
      </c>
      <c r="C64">
        <v>2330</v>
      </c>
      <c r="D64">
        <v>0</v>
      </c>
      <c r="F64" s="5" t="str">
        <f>LEFT(I64,6)</f>
        <v>31.126</v>
      </c>
      <c r="G64" s="6" t="str">
        <f>LEFT(J64,8)</f>
        <v>-103.382</v>
      </c>
      <c r="H64" s="6"/>
      <c r="I64" s="6" t="str">
        <f>LEFT(L64,9)</f>
        <v>31.126755</v>
      </c>
      <c r="J64" s="6" t="str">
        <f>RIGHT(L64,11)</f>
        <v>-103.382640</v>
      </c>
      <c r="K64" s="6"/>
      <c r="L64" s="7" t="s">
        <v>251</v>
      </c>
    </row>
    <row r="65" spans="1:12" x14ac:dyDescent="0.25">
      <c r="A65" t="s">
        <v>294</v>
      </c>
      <c r="B65">
        <v>2330</v>
      </c>
      <c r="C65">
        <v>2330</v>
      </c>
      <c r="D65">
        <v>0</v>
      </c>
      <c r="F65" s="5" t="str">
        <f>LEFT(I65,6)</f>
        <v>31.117</v>
      </c>
      <c r="G65" s="6" t="str">
        <f>LEFT(J65,8)</f>
        <v>-103.368</v>
      </c>
      <c r="H65" s="6"/>
      <c r="I65" s="6" t="str">
        <f>LEFT(L65,9)</f>
        <v>31.117247</v>
      </c>
      <c r="J65" s="6" t="str">
        <f>RIGHT(L65,11)</f>
        <v>-103.368104</v>
      </c>
      <c r="K65" s="6"/>
      <c r="L65" s="7" t="s">
        <v>262</v>
      </c>
    </row>
    <row r="66" spans="1:12" x14ac:dyDescent="0.25">
      <c r="A66" t="s">
        <v>271</v>
      </c>
      <c r="B66">
        <v>2330</v>
      </c>
      <c r="C66">
        <v>2330</v>
      </c>
      <c r="D66">
        <v>0</v>
      </c>
      <c r="F66" s="5" t="str">
        <f>LEFT(I66,6)</f>
        <v>31.126</v>
      </c>
      <c r="G66" s="6" t="str">
        <f>LEFT(J66,8)</f>
        <v>-103.356</v>
      </c>
      <c r="H66" s="6"/>
      <c r="I66" s="6" t="str">
        <f>LEFT(L66,9)</f>
        <v>31.126564</v>
      </c>
      <c r="J66" s="6" t="str">
        <f>RIGHT(L66,11)</f>
        <v>-103.356476</v>
      </c>
      <c r="K66" s="6"/>
      <c r="L66" s="7" t="s">
        <v>270</v>
      </c>
    </row>
    <row r="67" spans="1:12" x14ac:dyDescent="0.25">
      <c r="A67" t="s">
        <v>295</v>
      </c>
      <c r="B67">
        <v>2330</v>
      </c>
      <c r="C67">
        <v>2330</v>
      </c>
      <c r="D67">
        <v>0</v>
      </c>
      <c r="F67" s="5" t="str">
        <f>LEFT(I67,6)</f>
        <v>31.119</v>
      </c>
      <c r="G67" s="6" t="str">
        <f>LEFT(J67,8)</f>
        <v>-103.356</v>
      </c>
      <c r="H67" s="6"/>
      <c r="I67" s="6" t="str">
        <f>LEFT(L67,9)</f>
        <v>31.119544</v>
      </c>
      <c r="J67" s="6" t="str">
        <f>RIGHT(L67,11)</f>
        <v>-103.356699</v>
      </c>
      <c r="K67" s="6"/>
      <c r="L67" s="7" t="s">
        <v>265</v>
      </c>
    </row>
    <row r="68" spans="1:12" x14ac:dyDescent="0.25">
      <c r="A68" t="s">
        <v>296</v>
      </c>
      <c r="B68">
        <v>2330</v>
      </c>
      <c r="C68">
        <v>2330</v>
      </c>
      <c r="D68">
        <v>0</v>
      </c>
      <c r="F68" s="5" t="str">
        <f>LEFT(I68,6)</f>
        <v>31.113</v>
      </c>
      <c r="G68" s="6" t="str">
        <f>LEFT(J68,8)</f>
        <v>-103.357</v>
      </c>
      <c r="H68" s="6"/>
      <c r="I68" s="6" t="str">
        <f>LEFT(L68,9)</f>
        <v>31.113737</v>
      </c>
      <c r="J68" s="6" t="str">
        <f>RIGHT(L68,11)</f>
        <v>-103.357445</v>
      </c>
      <c r="K68" s="6"/>
      <c r="L68" s="7" t="s">
        <v>268</v>
      </c>
    </row>
    <row r="69" spans="1:12" x14ac:dyDescent="0.25">
      <c r="A69" t="s">
        <v>297</v>
      </c>
      <c r="B69">
        <v>2330</v>
      </c>
      <c r="C69">
        <v>2330</v>
      </c>
      <c r="D69">
        <v>0</v>
      </c>
      <c r="F69" s="5" t="str">
        <f>LEFT(I69,6)</f>
        <v>31.123</v>
      </c>
      <c r="G69" s="6" t="str">
        <f>LEFT(J69,8)</f>
        <v>-103.368</v>
      </c>
      <c r="H69" s="6"/>
      <c r="I69" s="6" t="str">
        <f>LEFT(L69,9)</f>
        <v>31.123373</v>
      </c>
      <c r="J69" s="6" t="str">
        <f>RIGHT(L69,11)</f>
        <v>-103.368104</v>
      </c>
      <c r="K69" s="6"/>
      <c r="L69" s="7" t="s">
        <v>260</v>
      </c>
    </row>
    <row r="70" spans="1:12" x14ac:dyDescent="0.25">
      <c r="A70" t="s">
        <v>298</v>
      </c>
      <c r="B70">
        <v>2330</v>
      </c>
      <c r="C70">
        <v>2330</v>
      </c>
      <c r="D70">
        <v>0</v>
      </c>
      <c r="F70" s="5" t="str">
        <f>LEFT(I70,6)</f>
        <v>31.124</v>
      </c>
      <c r="G70" s="6" t="str">
        <f>LEFT(J70,8)</f>
        <v>-103.377</v>
      </c>
      <c r="H70" s="6"/>
      <c r="I70" s="6" t="str">
        <f>LEFT(L70,9)</f>
        <v>31.124649</v>
      </c>
      <c r="J70" s="6" t="str">
        <f>RIGHT(L70,11)</f>
        <v>-103.377198</v>
      </c>
      <c r="K70" s="6"/>
      <c r="L70" s="7" t="s">
        <v>247</v>
      </c>
    </row>
    <row r="71" spans="1:12" x14ac:dyDescent="0.25">
      <c r="A71" t="s">
        <v>299</v>
      </c>
      <c r="B71">
        <v>2330</v>
      </c>
      <c r="C71">
        <v>2330</v>
      </c>
      <c r="D71">
        <v>0</v>
      </c>
      <c r="F71" s="5" t="str">
        <f>LEFT(I71,6)</f>
        <v>31.130</v>
      </c>
      <c r="G71" s="6" t="str">
        <f>LEFT(J71,8)</f>
        <v>-103.377</v>
      </c>
      <c r="H71" s="6"/>
      <c r="I71" s="6" t="str">
        <f>LEFT(L71,9)</f>
        <v>31.130966</v>
      </c>
      <c r="J71" s="6" t="str">
        <f>RIGHT(L71,11)</f>
        <v>-103.377124</v>
      </c>
      <c r="K71" s="6"/>
      <c r="L71" s="7" t="s">
        <v>253</v>
      </c>
    </row>
    <row r="72" spans="1:12" x14ac:dyDescent="0.25">
      <c r="A72" t="s">
        <v>276</v>
      </c>
      <c r="B72">
        <v>2330</v>
      </c>
      <c r="C72">
        <v>2330</v>
      </c>
      <c r="D72">
        <v>0</v>
      </c>
      <c r="F72" s="5" t="str">
        <f>LEFT(I72,6)</f>
        <v>31.135</v>
      </c>
      <c r="G72" s="6" t="str">
        <f>LEFT(J72,8)</f>
        <v>-103.380</v>
      </c>
      <c r="H72" s="6"/>
      <c r="I72" s="6" t="str">
        <f>LEFT(L72,9)</f>
        <v>31.135816</v>
      </c>
      <c r="J72" s="6" t="str">
        <f>RIGHT(L72,11)</f>
        <v>-103.380851</v>
      </c>
      <c r="K72" s="6"/>
      <c r="L72" s="7" t="s">
        <v>256</v>
      </c>
    </row>
    <row r="73" spans="1:12" x14ac:dyDescent="0.25">
      <c r="A73" t="s">
        <v>300</v>
      </c>
      <c r="B73">
        <v>2330</v>
      </c>
      <c r="C73">
        <v>2330</v>
      </c>
      <c r="D73">
        <v>0</v>
      </c>
      <c r="F73" s="5" t="str">
        <f>LEFT(I73,6)</f>
        <v>31.135</v>
      </c>
      <c r="G73" s="6" t="str">
        <f>LEFT(J73,8)</f>
        <v>-103.373</v>
      </c>
      <c r="H73" s="6"/>
      <c r="I73" s="6" t="str">
        <f>LEFT(L73,9)</f>
        <v>31.135433</v>
      </c>
      <c r="J73" s="6" t="str">
        <f>RIGHT(L73,11)</f>
        <v>-103.373919</v>
      </c>
      <c r="K73" s="6"/>
      <c r="L73" s="7" t="s">
        <v>257</v>
      </c>
    </row>
    <row r="74" spans="1:12" x14ac:dyDescent="0.25">
      <c r="A74" t="s">
        <v>301</v>
      </c>
      <c r="B74">
        <v>2330</v>
      </c>
      <c r="C74">
        <v>2330</v>
      </c>
      <c r="D74">
        <v>0</v>
      </c>
      <c r="F74" s="5" t="str">
        <f>LEFT(I74,6)</f>
        <v>31.121</v>
      </c>
      <c r="G74" s="6" t="str">
        <f>LEFT(J74,8)</f>
        <v>-103.361</v>
      </c>
      <c r="H74" s="6"/>
      <c r="I74" s="6" t="str">
        <f>LEFT(L74,9)</f>
        <v>31.121522</v>
      </c>
      <c r="J74" s="6" t="str">
        <f>RIGHT(L74,11)</f>
        <v>-103.361768</v>
      </c>
      <c r="K74" s="6"/>
      <c r="L74" s="7" t="s">
        <v>263</v>
      </c>
    </row>
    <row r="75" spans="1:12" x14ac:dyDescent="0.25">
      <c r="A75" t="s">
        <v>210</v>
      </c>
      <c r="B75">
        <v>2597</v>
      </c>
      <c r="C75">
        <v>2613.71</v>
      </c>
      <c r="D75">
        <v>7.24</v>
      </c>
      <c r="F75" s="5" t="str">
        <f>LEFT(I75,6)</f>
        <v>31.392</v>
      </c>
      <c r="G75" s="6" t="str">
        <f>LEFT(J75,8)</f>
        <v>-103.508</v>
      </c>
      <c r="H75" s="6"/>
      <c r="I75" s="6" t="str">
        <f>LEFT(L75,9)</f>
        <v>31.392415</v>
      </c>
      <c r="J75" s="6" t="str">
        <f>RIGHT(L75,11)</f>
        <v>-103.508212</v>
      </c>
      <c r="K75" s="6"/>
      <c r="L75" s="7" t="s">
        <v>239</v>
      </c>
    </row>
    <row r="76" spans="1:12" x14ac:dyDescent="0.25">
      <c r="A76" t="s">
        <v>211</v>
      </c>
      <c r="B76">
        <v>2791</v>
      </c>
      <c r="C76">
        <v>2805.55</v>
      </c>
      <c r="D76">
        <v>6.3</v>
      </c>
      <c r="F76" s="5" t="str">
        <f>LEFT(I76,6)</f>
        <v>31.140</v>
      </c>
      <c r="G76" s="6" t="str">
        <f>LEFT(J76,8)</f>
        <v>-103.375</v>
      </c>
      <c r="H76" s="6"/>
      <c r="I76" s="6" t="str">
        <f>LEFT(L76,9)</f>
        <v>31.140878</v>
      </c>
      <c r="J76" s="6" t="str">
        <f>RIGHT(L76,11)</f>
        <v>-103.375600</v>
      </c>
      <c r="K76" s="6"/>
      <c r="L76" s="7" t="s">
        <v>226</v>
      </c>
    </row>
    <row r="77" spans="1:12" x14ac:dyDescent="0.25">
      <c r="A77" t="s">
        <v>212</v>
      </c>
      <c r="B77">
        <v>2791</v>
      </c>
      <c r="C77">
        <v>2807.75</v>
      </c>
      <c r="D77">
        <v>7.26</v>
      </c>
      <c r="F77" s="5" t="str">
        <f>LEFT(I77,6)</f>
        <v>31.140</v>
      </c>
      <c r="G77" s="6" t="str">
        <f>LEFT(J77,8)</f>
        <v>-103.375</v>
      </c>
      <c r="H77" s="6"/>
      <c r="I77" s="6" t="str">
        <f>LEFT(L77,9)</f>
        <v>31.140679</v>
      </c>
      <c r="J77" s="6" t="str">
        <f>RIGHT(L77,11)</f>
        <v>-103.375833</v>
      </c>
      <c r="K77" s="6"/>
      <c r="L77" s="7" t="s">
        <v>227</v>
      </c>
    </row>
    <row r="78" spans="1:12" ht="15.75" thickBot="1" x14ac:dyDescent="0.3">
      <c r="A78" t="s">
        <v>213</v>
      </c>
      <c r="B78">
        <v>2598</v>
      </c>
      <c r="C78">
        <v>2613.02</v>
      </c>
      <c r="D78">
        <v>6.51</v>
      </c>
      <c r="F78" s="9" t="str">
        <f>LEFT(I78,6)</f>
        <v>31.392</v>
      </c>
      <c r="G78" s="10" t="str">
        <f>LEFT(J78,8)</f>
        <v>-103.507</v>
      </c>
      <c r="H78" s="10"/>
      <c r="I78" s="10" t="str">
        <f>LEFT(L78,9)</f>
        <v>31.392650</v>
      </c>
      <c r="J78" s="10" t="str">
        <f>RIGHT(L78,11)</f>
        <v>-103.507661</v>
      </c>
      <c r="K78" s="10"/>
      <c r="L78" s="11" t="s">
        <v>240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2"/>
  <sheetViews>
    <sheetView tabSelected="1" workbookViewId="0">
      <pane ySplit="3" topLeftCell="A31" activePane="bottomLeft" state="frozen"/>
      <selection pane="bottomLeft" activeCell="A4" sqref="A1:XFD4"/>
    </sheetView>
  </sheetViews>
  <sheetFormatPr defaultRowHeight="15" x14ac:dyDescent="0.25"/>
  <cols>
    <col min="12" max="12" width="21.42578125" customWidth="1"/>
  </cols>
  <sheetData>
    <row r="1" spans="1:12" x14ac:dyDescent="0.25">
      <c r="A1" t="s">
        <v>287</v>
      </c>
      <c r="F1" s="14" t="s">
        <v>284</v>
      </c>
      <c r="G1" s="15"/>
      <c r="H1" s="15"/>
      <c r="I1" s="15"/>
      <c r="J1" s="15"/>
      <c r="K1" s="15"/>
      <c r="L1" s="16"/>
    </row>
    <row r="2" spans="1:12" x14ac:dyDescent="0.25">
      <c r="A2" t="s">
        <v>288</v>
      </c>
      <c r="F2" s="5"/>
      <c r="G2" s="6"/>
      <c r="H2" s="6"/>
      <c r="I2" s="6"/>
      <c r="J2" s="6"/>
      <c r="K2" s="6"/>
      <c r="L2" s="7"/>
    </row>
    <row r="3" spans="1:12" x14ac:dyDescent="0.25">
      <c r="A3" t="s">
        <v>148</v>
      </c>
      <c r="B3" t="s">
        <v>149</v>
      </c>
      <c r="C3" t="s">
        <v>289</v>
      </c>
      <c r="D3" t="s">
        <v>150</v>
      </c>
      <c r="F3" s="5" t="s">
        <v>282</v>
      </c>
      <c r="G3" s="6"/>
      <c r="H3" s="6"/>
      <c r="I3" s="6" t="s">
        <v>283</v>
      </c>
      <c r="J3" s="6"/>
      <c r="K3" s="6"/>
      <c r="L3" s="8" t="s">
        <v>285</v>
      </c>
    </row>
    <row r="4" spans="1:12" x14ac:dyDescent="0.25">
      <c r="A4" t="s">
        <v>151</v>
      </c>
      <c r="B4" t="s">
        <v>152</v>
      </c>
      <c r="C4" t="s">
        <v>152</v>
      </c>
      <c r="D4" t="s">
        <v>153</v>
      </c>
      <c r="F4" s="5" t="s">
        <v>229</v>
      </c>
      <c r="G4" s="6" t="s">
        <v>230</v>
      </c>
      <c r="H4" s="6"/>
      <c r="I4" s="6" t="s">
        <v>229</v>
      </c>
      <c r="J4" s="6" t="s">
        <v>230</v>
      </c>
      <c r="K4" s="6"/>
      <c r="L4" s="7" t="s">
        <v>286</v>
      </c>
    </row>
    <row r="5" spans="1:12" x14ac:dyDescent="0.25">
      <c r="A5" t="s">
        <v>154</v>
      </c>
      <c r="B5">
        <v>2793</v>
      </c>
      <c r="C5">
        <v>2826.4</v>
      </c>
      <c r="D5">
        <v>14.47</v>
      </c>
      <c r="F5" s="5" t="str">
        <f>LEFT(I5,6)</f>
        <v>31.134</v>
      </c>
      <c r="G5" s="6" t="str">
        <f>LEFT(J5,8)</f>
        <v>-103.377</v>
      </c>
      <c r="H5" s="6"/>
      <c r="I5" s="6" t="str">
        <f>LEFT(L5,9)</f>
        <v>31.134986</v>
      </c>
      <c r="J5" s="6" t="str">
        <f>RIGHT(L5,11)</f>
        <v>-103.377198</v>
      </c>
      <c r="K5" s="6"/>
      <c r="L5" s="7" t="s">
        <v>254</v>
      </c>
    </row>
    <row r="6" spans="1:12" x14ac:dyDescent="0.25">
      <c r="A6" t="s">
        <v>155</v>
      </c>
      <c r="B6">
        <v>2790</v>
      </c>
      <c r="C6">
        <v>2820</v>
      </c>
      <c r="D6">
        <v>13</v>
      </c>
      <c r="F6" s="5" t="str">
        <f>LEFT(I6,6)</f>
        <v>31.136</v>
      </c>
      <c r="G6" s="6" t="str">
        <f>LEFT(J6,8)</f>
        <v>-103.376</v>
      </c>
      <c r="H6" s="6"/>
      <c r="I6" s="6" t="str">
        <f>LEFT(L6,9)</f>
        <v>31.136326</v>
      </c>
      <c r="J6" s="6" t="str">
        <f>RIGHT(L6,11)</f>
        <v>-103.376751</v>
      </c>
      <c r="K6" s="6"/>
      <c r="L6" s="7" t="s">
        <v>255</v>
      </c>
    </row>
    <row r="7" spans="1:12" x14ac:dyDescent="0.25">
      <c r="A7" t="s">
        <v>156</v>
      </c>
      <c r="B7">
        <v>2787.48</v>
      </c>
      <c r="C7">
        <v>2836.98</v>
      </c>
      <c r="D7">
        <v>21.45</v>
      </c>
      <c r="F7" s="5" t="str">
        <f>LEFT(I7,6)</f>
        <v>31.131</v>
      </c>
      <c r="G7" s="6" t="str">
        <f>LEFT(J7,8)</f>
        <v>-103.378</v>
      </c>
      <c r="H7" s="6"/>
      <c r="I7" s="6" t="str">
        <f>LEFT(L7,9)</f>
        <v>31.131285</v>
      </c>
      <c r="J7" s="6" t="str">
        <f>RIGHT(L7,11)</f>
        <v>-103.378093</v>
      </c>
      <c r="K7" s="6"/>
      <c r="L7" s="7" t="s">
        <v>252</v>
      </c>
    </row>
    <row r="8" spans="1:12" x14ac:dyDescent="0.25">
      <c r="A8" t="s">
        <v>157</v>
      </c>
      <c r="B8">
        <v>2791.25</v>
      </c>
      <c r="C8">
        <v>2808.93</v>
      </c>
      <c r="D8">
        <v>7.66</v>
      </c>
      <c r="F8" s="5" t="str">
        <f>LEFT(I8,6)</f>
        <v>31.140</v>
      </c>
      <c r="G8" s="6" t="str">
        <f>LEFT(J8,8)</f>
        <v>-103.375</v>
      </c>
      <c r="H8" s="6"/>
      <c r="I8" s="6" t="str">
        <f>LEFT(L8,9)</f>
        <v>31.140601</v>
      </c>
      <c r="J8" s="6" t="str">
        <f>RIGHT(L8,11)</f>
        <v>-103.375857</v>
      </c>
      <c r="K8" s="6"/>
      <c r="L8" s="7" t="s">
        <v>258</v>
      </c>
    </row>
    <row r="9" spans="1:12" x14ac:dyDescent="0.25">
      <c r="A9" t="s">
        <v>158</v>
      </c>
      <c r="B9">
        <v>2790</v>
      </c>
      <c r="C9">
        <v>2852.54</v>
      </c>
      <c r="D9">
        <v>27.1</v>
      </c>
      <c r="F9" s="5" t="str">
        <f>LEFT(I9,6)</f>
        <v>31.125</v>
      </c>
      <c r="G9" s="6" t="str">
        <f>LEFT(J9,8)</f>
        <v>-103.379</v>
      </c>
      <c r="H9" s="6"/>
      <c r="I9" s="6" t="str">
        <f>LEFT(L9,9)</f>
        <v>31.125479</v>
      </c>
      <c r="J9" s="6" t="str">
        <f>RIGHT(L9,11)</f>
        <v>-103.379435</v>
      </c>
      <c r="K9" s="6"/>
      <c r="L9" s="7" t="s">
        <v>249</v>
      </c>
    </row>
    <row r="10" spans="1:12" x14ac:dyDescent="0.25">
      <c r="A10" t="s">
        <v>159</v>
      </c>
      <c r="B10">
        <v>2792.39</v>
      </c>
      <c r="C10">
        <v>2855.5</v>
      </c>
      <c r="D10">
        <v>27.35</v>
      </c>
      <c r="F10" s="5" t="str">
        <f>LEFT(I10,6)</f>
        <v>31.124</v>
      </c>
      <c r="G10" s="6" t="str">
        <f>LEFT(J10,8)</f>
        <v>-103.380</v>
      </c>
      <c r="H10" s="6"/>
      <c r="I10" s="6" t="str">
        <f>LEFT(L10,9)</f>
        <v>31.124585</v>
      </c>
      <c r="J10" s="6" t="str">
        <f>RIGHT(L10,11)</f>
        <v>-103.380329</v>
      </c>
      <c r="K10" s="6"/>
      <c r="L10" s="7" t="s">
        <v>250</v>
      </c>
    </row>
    <row r="11" spans="1:12" x14ac:dyDescent="0.25">
      <c r="A11" t="s">
        <v>160</v>
      </c>
      <c r="B11">
        <v>2799.3</v>
      </c>
      <c r="C11">
        <v>2886.65</v>
      </c>
      <c r="D11">
        <v>37.85</v>
      </c>
      <c r="F11" s="5" t="str">
        <f>LEFT(I11,6)</f>
        <v>31.121</v>
      </c>
      <c r="G11" s="6" t="str">
        <f>LEFT(J11,8)</f>
        <v>-103.383</v>
      </c>
      <c r="H11" s="6"/>
      <c r="I11" s="6" t="str">
        <f>LEFT(L11,9)</f>
        <v>31.121140</v>
      </c>
      <c r="J11" s="6" t="str">
        <f>RIGHT(L11,11)</f>
        <v>-103.383535</v>
      </c>
      <c r="K11" s="6"/>
      <c r="L11" s="7" t="s">
        <v>246</v>
      </c>
    </row>
    <row r="12" spans="1:12" x14ac:dyDescent="0.25">
      <c r="A12" t="s">
        <v>161</v>
      </c>
      <c r="B12">
        <v>2801.93</v>
      </c>
      <c r="C12">
        <v>2892.15</v>
      </c>
      <c r="D12">
        <v>39.090000000000003</v>
      </c>
      <c r="F12" s="5" t="str">
        <f>LEFT(I12,6)</f>
        <v>31.120</v>
      </c>
      <c r="G12" s="6" t="str">
        <f>LEFT(J12,8)</f>
        <v>-103.384</v>
      </c>
      <c r="H12" s="6"/>
      <c r="I12" s="6" t="str">
        <f>LEFT(L12,9)</f>
        <v>31.120055</v>
      </c>
      <c r="J12" s="6" t="str">
        <f>RIGHT(L12,11)</f>
        <v>-103.384876</v>
      </c>
      <c r="K12" s="6"/>
      <c r="L12" s="7" t="s">
        <v>245</v>
      </c>
    </row>
    <row r="13" spans="1:12" x14ac:dyDescent="0.25">
      <c r="A13" t="s">
        <v>162</v>
      </c>
      <c r="B13">
        <v>2805.21</v>
      </c>
      <c r="C13">
        <v>2896.61</v>
      </c>
      <c r="D13">
        <v>39.6</v>
      </c>
      <c r="F13" s="5" t="str">
        <f>LEFT(I13,6)</f>
        <v>31.122</v>
      </c>
      <c r="G13" s="6" t="str">
        <f>LEFT(J13,8)</f>
        <v>-103.387</v>
      </c>
      <c r="H13" s="6"/>
      <c r="I13" s="6" t="str">
        <f>LEFT(L13,9)</f>
        <v>31.122416</v>
      </c>
      <c r="J13" s="6" t="str">
        <f>RIGHT(L13,11)</f>
        <v>-103.387933</v>
      </c>
      <c r="K13" s="6"/>
      <c r="L13" s="7" t="s">
        <v>244</v>
      </c>
    </row>
    <row r="14" spans="1:12" x14ac:dyDescent="0.25">
      <c r="A14" t="s">
        <v>163</v>
      </c>
      <c r="B14">
        <v>2798.89</v>
      </c>
      <c r="C14">
        <v>2857.81</v>
      </c>
      <c r="D14">
        <v>25.53</v>
      </c>
      <c r="F14" s="5" t="str">
        <f>LEFT(I14,6)</f>
        <v>31.124</v>
      </c>
      <c r="G14" s="6" t="str">
        <f>LEFT(J14,8)</f>
        <v>-103.377</v>
      </c>
      <c r="H14" s="6"/>
      <c r="I14" s="6" t="str">
        <f>LEFT(L14,9)</f>
        <v>31.124139</v>
      </c>
      <c r="J14" s="6" t="str">
        <f>RIGHT(L14,11)</f>
        <v>-103.377571</v>
      </c>
      <c r="K14" s="6"/>
      <c r="L14" s="7" t="s">
        <v>248</v>
      </c>
    </row>
    <row r="15" spans="1:12" x14ac:dyDescent="0.25">
      <c r="A15" t="s">
        <v>164</v>
      </c>
      <c r="B15">
        <v>2796.07</v>
      </c>
      <c r="C15">
        <v>2859.75</v>
      </c>
      <c r="D15">
        <v>27.59</v>
      </c>
      <c r="F15" s="5" t="str">
        <f>LEFT(I15,6)</f>
        <v>31.126</v>
      </c>
      <c r="G15" s="6" t="str">
        <f>LEFT(J15,8)</f>
        <v>-103.382</v>
      </c>
      <c r="H15" s="6"/>
      <c r="I15" s="6" t="str">
        <f>LEFT(L15,9)</f>
        <v>31.126755</v>
      </c>
      <c r="J15" s="6" t="str">
        <f>RIGHT(L15,11)</f>
        <v>-103.382640</v>
      </c>
      <c r="K15" s="6"/>
      <c r="L15" s="7" t="s">
        <v>251</v>
      </c>
    </row>
    <row r="16" spans="1:12" x14ac:dyDescent="0.25">
      <c r="A16" t="s">
        <v>165</v>
      </c>
      <c r="B16">
        <v>2804.19</v>
      </c>
      <c r="C16">
        <v>2906.36</v>
      </c>
      <c r="D16">
        <v>44.27</v>
      </c>
      <c r="F16" s="5" t="str">
        <f>LEFT(I16,6)</f>
        <v>31.123</v>
      </c>
      <c r="G16" s="6" t="str">
        <f>LEFT(J16,8)</f>
        <v>-103.368</v>
      </c>
      <c r="H16" s="6"/>
      <c r="I16" s="6" t="str">
        <f>LEFT(L16,9)</f>
        <v>31.123373</v>
      </c>
      <c r="J16" s="6" t="str">
        <f>RIGHT(L16,11)</f>
        <v>-103.368104</v>
      </c>
      <c r="K16" s="6"/>
      <c r="L16" s="7" t="s">
        <v>260</v>
      </c>
    </row>
    <row r="17" spans="1:12" x14ac:dyDescent="0.25">
      <c r="A17" t="s">
        <v>166</v>
      </c>
      <c r="B17">
        <v>2806.95</v>
      </c>
      <c r="C17">
        <v>2924.79</v>
      </c>
      <c r="D17">
        <v>51.06</v>
      </c>
      <c r="F17" s="5" t="str">
        <f>LEFT(I17,6)</f>
        <v>31.121</v>
      </c>
      <c r="G17" s="6" t="str">
        <f>LEFT(J17,8)</f>
        <v>-103.361</v>
      </c>
      <c r="H17" s="6"/>
      <c r="I17" s="6" t="str">
        <f>LEFT(L17,9)</f>
        <v>31.121522</v>
      </c>
      <c r="J17" s="6" t="str">
        <f>RIGHT(L17,11)</f>
        <v>-103.361768</v>
      </c>
      <c r="K17" s="6"/>
      <c r="L17" s="7" t="s">
        <v>263</v>
      </c>
    </row>
    <row r="18" spans="1:12" x14ac:dyDescent="0.25">
      <c r="A18" t="s">
        <v>167</v>
      </c>
      <c r="B18">
        <v>2813.46</v>
      </c>
      <c r="C18">
        <v>2946.71</v>
      </c>
      <c r="D18">
        <v>57.74</v>
      </c>
      <c r="F18" s="5" t="str">
        <f>LEFT(I18,6)</f>
        <v>31.119</v>
      </c>
      <c r="G18" s="6" t="str">
        <f>LEFT(J18,8)</f>
        <v>-103.356</v>
      </c>
      <c r="H18" s="6"/>
      <c r="I18" s="6" t="str">
        <f>LEFT(L18,9)</f>
        <v>31.119544</v>
      </c>
      <c r="J18" s="6" t="str">
        <f>RIGHT(L18,11)</f>
        <v>-103.356699</v>
      </c>
      <c r="K18" s="6"/>
      <c r="L18" s="7" t="s">
        <v>265</v>
      </c>
    </row>
    <row r="19" spans="1:12" x14ac:dyDescent="0.25">
      <c r="A19" t="s">
        <v>168</v>
      </c>
      <c r="B19">
        <v>2802.59</v>
      </c>
      <c r="C19">
        <v>2944.15</v>
      </c>
      <c r="D19">
        <v>61.34</v>
      </c>
      <c r="F19" s="5" t="str">
        <f>LEFT(I19,6)</f>
        <v>31.126</v>
      </c>
      <c r="G19" s="6" t="str">
        <f>LEFT(J19,8)</f>
        <v>-103.356</v>
      </c>
      <c r="H19" s="6"/>
      <c r="I19" s="6" t="str">
        <f>LEFT(L19,9)</f>
        <v>31.126564</v>
      </c>
      <c r="J19" s="6" t="str">
        <f>RIGHT(L19,11)</f>
        <v>-103.356476</v>
      </c>
      <c r="K19" s="6"/>
      <c r="L19" s="7" t="s">
        <v>270</v>
      </c>
    </row>
    <row r="20" spans="1:12" x14ac:dyDescent="0.25">
      <c r="A20" t="s">
        <v>169</v>
      </c>
      <c r="B20">
        <v>2820.27</v>
      </c>
      <c r="C20">
        <v>2951.64</v>
      </c>
      <c r="D20">
        <v>56.92</v>
      </c>
      <c r="F20" s="5" t="str">
        <f>LEFT(I20,6)</f>
        <v>31.113</v>
      </c>
      <c r="G20" s="6" t="str">
        <f>LEFT(J20,8)</f>
        <v>-103.357</v>
      </c>
      <c r="H20" s="6"/>
      <c r="I20" s="6" t="str">
        <f>LEFT(L20,9)</f>
        <v>31.113737</v>
      </c>
      <c r="J20" s="6" t="str">
        <f>RIGHT(L20,11)</f>
        <v>-103.357445</v>
      </c>
      <c r="K20" s="6"/>
      <c r="L20" s="7" t="s">
        <v>268</v>
      </c>
    </row>
    <row r="21" spans="1:12" x14ac:dyDescent="0.25">
      <c r="A21" t="s">
        <v>170</v>
      </c>
      <c r="B21">
        <v>2812.2</v>
      </c>
      <c r="C21">
        <v>2938.73</v>
      </c>
      <c r="D21">
        <v>54.83</v>
      </c>
      <c r="F21" s="5" t="str">
        <f>LEFT(I21,6)</f>
        <v>31.120</v>
      </c>
      <c r="G21" s="6" t="str">
        <f>LEFT(J21,8)</f>
        <v>-103.359</v>
      </c>
      <c r="H21" s="6"/>
      <c r="I21" s="6" t="str">
        <f>LEFT(L21,9)</f>
        <v>31.120310</v>
      </c>
      <c r="J21" s="6" t="str">
        <f>RIGHT(L21,11)</f>
        <v>-103.359532</v>
      </c>
      <c r="K21" s="6"/>
      <c r="L21" s="7" t="s">
        <v>264</v>
      </c>
    </row>
    <row r="22" spans="1:12" x14ac:dyDescent="0.25">
      <c r="A22" t="s">
        <v>171</v>
      </c>
      <c r="B22">
        <v>2806.2</v>
      </c>
      <c r="C22">
        <v>2914.49</v>
      </c>
      <c r="D22">
        <v>46.92</v>
      </c>
      <c r="F22" s="5" t="str">
        <f>LEFT(I22,6)</f>
        <v>31.122</v>
      </c>
      <c r="G22" s="6" t="str">
        <f>LEFT(J22,8)</f>
        <v>-103.366</v>
      </c>
      <c r="H22" s="6"/>
      <c r="I22" s="6" t="str">
        <f>LEFT(L22,9)</f>
        <v>31.122863</v>
      </c>
      <c r="J22" s="6" t="str">
        <f>RIGHT(L22,11)</f>
        <v>-103.366017</v>
      </c>
      <c r="K22" s="6"/>
      <c r="L22" s="7" t="s">
        <v>261</v>
      </c>
    </row>
    <row r="23" spans="1:12" x14ac:dyDescent="0.25">
      <c r="A23" t="s">
        <v>172</v>
      </c>
      <c r="B23">
        <v>2810.37</v>
      </c>
      <c r="C23">
        <v>2919.56</v>
      </c>
      <c r="D23">
        <v>47.31</v>
      </c>
      <c r="F23" s="5" t="str">
        <f>LEFT(I23,6)</f>
        <v>31.117</v>
      </c>
      <c r="G23" s="6" t="str">
        <f>LEFT(J23,8)</f>
        <v>-103.368</v>
      </c>
      <c r="H23" s="6"/>
      <c r="I23" s="6" t="str">
        <f>LEFT(L23,9)</f>
        <v>31.117247</v>
      </c>
      <c r="J23" s="6" t="str">
        <f>RIGHT(L23,11)</f>
        <v>-103.368104</v>
      </c>
      <c r="K23" s="6"/>
      <c r="L23" s="7" t="s">
        <v>262</v>
      </c>
    </row>
    <row r="24" spans="1:12" x14ac:dyDescent="0.25">
      <c r="A24" t="s">
        <v>173</v>
      </c>
      <c r="B24">
        <v>2599</v>
      </c>
      <c r="C24">
        <v>2742.6</v>
      </c>
      <c r="D24">
        <v>62.22</v>
      </c>
      <c r="F24" s="5" t="str">
        <f>LEFT(I24,6)</f>
        <v>31.386</v>
      </c>
      <c r="G24" s="6" t="str">
        <f>LEFT(J24,8)</f>
        <v>-103.504</v>
      </c>
      <c r="H24" s="6"/>
      <c r="I24" s="6" t="str">
        <f>LEFT(L24,8)</f>
        <v>31.38660</v>
      </c>
      <c r="J24" s="6" t="str">
        <f>RIGHT(L24,10)</f>
        <v>-103.50486</v>
      </c>
      <c r="K24" s="6"/>
      <c r="L24" s="7" t="s">
        <v>238</v>
      </c>
    </row>
    <row r="25" spans="1:12" x14ac:dyDescent="0.25">
      <c r="A25" t="s">
        <v>174</v>
      </c>
      <c r="B25">
        <v>2590</v>
      </c>
      <c r="C25">
        <v>2749.81</v>
      </c>
      <c r="D25">
        <v>69.239999999999995</v>
      </c>
      <c r="F25" s="5" t="str">
        <f>LEFT(I25,6)</f>
        <v>31.383</v>
      </c>
      <c r="G25" s="6" t="str">
        <f>LEFT(J25,8)</f>
        <v>-103.490</v>
      </c>
      <c r="H25" s="6"/>
      <c r="I25" s="6" t="str">
        <f>LEFT(L25,8)</f>
        <v>31.38396</v>
      </c>
      <c r="J25" s="6" t="str">
        <f>RIGHT(L25,10)</f>
        <v>-103.49074</v>
      </c>
      <c r="K25" s="6"/>
      <c r="L25" s="7" t="s">
        <v>237</v>
      </c>
    </row>
    <row r="26" spans="1:12" x14ac:dyDescent="0.25">
      <c r="A26" t="s">
        <v>175</v>
      </c>
      <c r="B26">
        <v>2590</v>
      </c>
      <c r="C26">
        <v>2751.26</v>
      </c>
      <c r="D26">
        <v>69.87</v>
      </c>
      <c r="F26" s="5" t="str">
        <f>LEFT(I26,6)</f>
        <v>31.386</v>
      </c>
      <c r="G26" s="6" t="str">
        <f>LEFT(J26,8)</f>
        <v>-103.490</v>
      </c>
      <c r="H26" s="6"/>
      <c r="I26" s="6" t="str">
        <f>LEFT(L26,8)</f>
        <v>31.38669</v>
      </c>
      <c r="J26" s="6" t="str">
        <f>RIGHT(L26,10)</f>
        <v>-103.49036</v>
      </c>
      <c r="K26" s="6"/>
      <c r="L26" s="7" t="s">
        <v>236</v>
      </c>
    </row>
    <row r="27" spans="1:12" x14ac:dyDescent="0.25">
      <c r="A27" t="s">
        <v>176</v>
      </c>
      <c r="B27">
        <v>2572</v>
      </c>
      <c r="C27">
        <v>2758.69</v>
      </c>
      <c r="D27">
        <v>80.89</v>
      </c>
      <c r="F27" s="5" t="str">
        <f>LEFT(I27,6)</f>
        <v>31.383</v>
      </c>
      <c r="G27" s="6" t="str">
        <f>LEFT(J27,8)</f>
        <v>-103.468</v>
      </c>
      <c r="H27" s="6"/>
      <c r="I27" s="6" t="str">
        <f>LEFT(L27,8)</f>
        <v>31.38387</v>
      </c>
      <c r="J27" s="6" t="str">
        <f>RIGHT(L27,10)</f>
        <v>-103.46831</v>
      </c>
      <c r="K27" s="6"/>
      <c r="L27" s="7" t="s">
        <v>233</v>
      </c>
    </row>
    <row r="28" spans="1:12" x14ac:dyDescent="0.25">
      <c r="A28" t="s">
        <v>177</v>
      </c>
      <c r="B28">
        <v>2567</v>
      </c>
      <c r="C28">
        <v>2758.86</v>
      </c>
      <c r="D28">
        <v>83.13</v>
      </c>
      <c r="F28" s="5" t="str">
        <f>LEFT(I28,6)</f>
        <v>31.348</v>
      </c>
      <c r="G28" s="6" t="str">
        <f>LEFT(J28,8)</f>
        <v>-103.437</v>
      </c>
      <c r="H28" s="6"/>
      <c r="I28" s="6" t="str">
        <f>LEFT(L28,8)</f>
        <v>31.34894</v>
      </c>
      <c r="J28" s="6" t="str">
        <f>RIGHT(L28,10)</f>
        <v>-103.43765</v>
      </c>
      <c r="K28" s="6"/>
      <c r="L28" s="7" t="s">
        <v>232</v>
      </c>
    </row>
    <row r="29" spans="1:12" x14ac:dyDescent="0.25">
      <c r="A29" t="s">
        <v>178</v>
      </c>
      <c r="B29">
        <v>2572</v>
      </c>
      <c r="C29">
        <v>2782.79</v>
      </c>
      <c r="D29">
        <v>91.34</v>
      </c>
      <c r="F29" s="5" t="str">
        <f>LEFT(I29,6)</f>
        <v>31.316</v>
      </c>
      <c r="G29" s="6" t="str">
        <f>LEFT(J29,8)</f>
        <v>-103.424</v>
      </c>
      <c r="H29" s="6"/>
      <c r="I29" s="6" t="str">
        <f>LEFT(L29,8)</f>
        <v>31.31636</v>
      </c>
      <c r="J29" s="6" t="str">
        <f>RIGHT(L29,10)</f>
        <v>-103.42441</v>
      </c>
      <c r="K29" s="6"/>
      <c r="L29" s="7" t="s">
        <v>228</v>
      </c>
    </row>
    <row r="30" spans="1:12" x14ac:dyDescent="0.25">
      <c r="A30" t="s">
        <v>179</v>
      </c>
      <c r="B30">
        <v>2628</v>
      </c>
      <c r="C30">
        <v>2814.42</v>
      </c>
      <c r="D30">
        <v>80.78</v>
      </c>
      <c r="F30" s="5" t="str">
        <f>LEFT(I30,6)</f>
        <v>31.276</v>
      </c>
      <c r="G30" s="6" t="str">
        <f>LEFT(J30,8)</f>
        <v>-103.381</v>
      </c>
      <c r="H30" s="6"/>
      <c r="I30" s="6" t="str">
        <f>LEFT(L30,8)</f>
        <v>31.27691</v>
      </c>
      <c r="J30" s="6" t="str">
        <f>RIGHT(L30,10)</f>
        <v>-103.38167</v>
      </c>
      <c r="K30" s="6"/>
      <c r="L30" s="7" t="s">
        <v>216</v>
      </c>
    </row>
    <row r="31" spans="1:12" x14ac:dyDescent="0.25">
      <c r="A31" t="s">
        <v>180</v>
      </c>
      <c r="B31">
        <v>2634</v>
      </c>
      <c r="C31">
        <v>2820.7</v>
      </c>
      <c r="D31">
        <v>80.900000000000006</v>
      </c>
      <c r="F31" s="5" t="str">
        <f>LEFT(I31,6)</f>
        <v>31.266</v>
      </c>
      <c r="G31" s="6" t="str">
        <f>LEFT(J31,8)</f>
        <v>-103.381</v>
      </c>
      <c r="H31" s="6"/>
      <c r="I31" s="6" t="str">
        <f>LEFT(L31,8)</f>
        <v>31.26616</v>
      </c>
      <c r="J31" s="6" t="str">
        <f>RIGHT(L31,10)</f>
        <v>-103.38155</v>
      </c>
      <c r="K31" s="6"/>
      <c r="L31" s="7" t="s">
        <v>215</v>
      </c>
    </row>
    <row r="32" spans="1:12" x14ac:dyDescent="0.25">
      <c r="A32" t="s">
        <v>181</v>
      </c>
      <c r="B32">
        <v>2658</v>
      </c>
      <c r="C32">
        <v>2827.22</v>
      </c>
      <c r="D32">
        <v>73.319999999999993</v>
      </c>
      <c r="F32" s="5" t="str">
        <f>LEFT(I32,6)</f>
        <v>31.258</v>
      </c>
      <c r="G32" s="6" t="str">
        <f>LEFT(J32,8)</f>
        <v>-103.372</v>
      </c>
      <c r="H32" s="6"/>
      <c r="I32" s="6" t="str">
        <f>LEFT(L32,8)</f>
        <v>31.25874</v>
      </c>
      <c r="J32" s="6" t="str">
        <f>RIGHT(L32,10)</f>
        <v>-103.37241</v>
      </c>
      <c r="K32" s="6"/>
      <c r="L32" s="7" t="s">
        <v>214</v>
      </c>
    </row>
    <row r="33" spans="1:12" x14ac:dyDescent="0.25">
      <c r="A33" s="17" t="s">
        <v>182</v>
      </c>
      <c r="B33" s="17">
        <v>2770</v>
      </c>
      <c r="C33" s="17">
        <v>2865.82</v>
      </c>
      <c r="D33" s="17">
        <v>41.52</v>
      </c>
      <c r="F33" s="5" t="str">
        <f>LEFT(I33,6)</f>
        <v>31.179</v>
      </c>
      <c r="G33" s="6" t="str">
        <f>LEFT(J33,8)</f>
        <v>-103.372</v>
      </c>
      <c r="H33" s="6"/>
      <c r="I33" s="6" t="str">
        <f>LEFT(L33,8)</f>
        <v>31.17947</v>
      </c>
      <c r="J33" s="6" t="str">
        <f>RIGHT(L33,10)</f>
        <v>-103.37287</v>
      </c>
      <c r="K33" s="6"/>
      <c r="L33" s="7" t="s">
        <v>219</v>
      </c>
    </row>
    <row r="34" spans="1:12" x14ac:dyDescent="0.25">
      <c r="A34" t="s">
        <v>183</v>
      </c>
      <c r="B34">
        <v>2770</v>
      </c>
      <c r="C34">
        <v>2869.09</v>
      </c>
      <c r="D34">
        <v>42.94</v>
      </c>
      <c r="F34" s="5" t="str">
        <f>LEFT(I34,6)</f>
        <v>31.174</v>
      </c>
      <c r="G34" s="6" t="str">
        <f>LEFT(J34,8)</f>
        <v>-103.373</v>
      </c>
      <c r="H34" s="6"/>
      <c r="I34" s="6" t="str">
        <f>LEFT(L34,8)</f>
        <v>31.17498</v>
      </c>
      <c r="J34" s="6" t="str">
        <f>RIGHT(L34,10)</f>
        <v>-103.37321</v>
      </c>
      <c r="K34" s="6"/>
      <c r="L34" s="7" t="s">
        <v>221</v>
      </c>
    </row>
    <row r="35" spans="1:12" x14ac:dyDescent="0.25">
      <c r="A35" t="s">
        <v>184</v>
      </c>
      <c r="B35">
        <v>2735</v>
      </c>
      <c r="C35">
        <v>2844.75</v>
      </c>
      <c r="D35">
        <v>47.56</v>
      </c>
      <c r="F35" s="5" t="str">
        <f>LEFT(I35,6)</f>
        <v>31.204</v>
      </c>
      <c r="G35" s="6" t="str">
        <f>LEFT(J35,8)</f>
        <v>-103.372</v>
      </c>
      <c r="H35" s="6"/>
      <c r="I35" s="6" t="str">
        <f>LEFT(L35,8)</f>
        <v>31.20499</v>
      </c>
      <c r="J35" s="6" t="str">
        <f>RIGHT(L35,10)</f>
        <v>-103.37287</v>
      </c>
      <c r="K35" s="6"/>
      <c r="L35" s="7" t="s">
        <v>218</v>
      </c>
    </row>
    <row r="36" spans="1:12" x14ac:dyDescent="0.25">
      <c r="A36" t="s">
        <v>185</v>
      </c>
      <c r="B36">
        <v>2780</v>
      </c>
      <c r="C36">
        <v>2882.81</v>
      </c>
      <c r="D36">
        <v>44.55</v>
      </c>
      <c r="F36" s="5" t="str">
        <f>LEFT(I36,6)</f>
        <v>31.160</v>
      </c>
      <c r="G36" s="6" t="str">
        <f>LEFT(J36,8)</f>
        <v>-103.373</v>
      </c>
      <c r="H36" s="6"/>
      <c r="I36" s="6" t="str">
        <f>LEFT(L36,8)</f>
        <v>31.16099</v>
      </c>
      <c r="J36" s="6" t="str">
        <f>RIGHT(L36,10)</f>
        <v>-103.37332</v>
      </c>
      <c r="K36" s="6"/>
      <c r="L36" s="7" t="s">
        <v>222</v>
      </c>
    </row>
    <row r="37" spans="1:12" x14ac:dyDescent="0.25">
      <c r="A37" t="s">
        <v>186</v>
      </c>
      <c r="B37">
        <v>2680</v>
      </c>
      <c r="C37">
        <v>2835.73</v>
      </c>
      <c r="D37">
        <v>67.48</v>
      </c>
      <c r="F37" s="5" t="str">
        <f>LEFT(I37,6)</f>
        <v>31.229</v>
      </c>
      <c r="G37" s="6" t="str">
        <f>LEFT(J37,8)</f>
        <v>-103.372</v>
      </c>
      <c r="H37" s="6"/>
      <c r="I37" s="6" t="str">
        <f>LEFT(L37,8)</f>
        <v>31.22982</v>
      </c>
      <c r="J37" s="6" t="str">
        <f>RIGHT(L37,10)</f>
        <v>-103.37275</v>
      </c>
      <c r="K37" s="6"/>
      <c r="L37" s="7" t="s">
        <v>217</v>
      </c>
    </row>
    <row r="38" spans="1:12" x14ac:dyDescent="0.25">
      <c r="A38" t="s">
        <v>187</v>
      </c>
      <c r="B38">
        <v>2793</v>
      </c>
      <c r="C38">
        <v>2890.13</v>
      </c>
      <c r="D38">
        <v>42.08</v>
      </c>
      <c r="F38" s="5" t="str">
        <f>LEFT(I38,6)</f>
        <v>31.141</v>
      </c>
      <c r="G38" s="6" t="str">
        <f>LEFT(J38,8)</f>
        <v>-103.373</v>
      </c>
      <c r="H38" s="6"/>
      <c r="I38" s="6" t="str">
        <f>LEFT(L38,8)</f>
        <v>31.14124</v>
      </c>
      <c r="J38" s="6" t="str">
        <f>RIGHT(L38,10)</f>
        <v>-103.37367</v>
      </c>
      <c r="K38" s="6"/>
      <c r="L38" s="7" t="s">
        <v>224</v>
      </c>
    </row>
    <row r="39" spans="1:12" x14ac:dyDescent="0.25">
      <c r="A39" t="s">
        <v>188</v>
      </c>
      <c r="B39">
        <v>2794</v>
      </c>
      <c r="C39">
        <v>2888.97</v>
      </c>
      <c r="D39">
        <v>41.15</v>
      </c>
      <c r="F39" s="5" t="str">
        <f>LEFT(I39,6)</f>
        <v>31.144</v>
      </c>
      <c r="G39" s="6" t="str">
        <f>LEFT(J39,8)</f>
        <v>-103.373</v>
      </c>
      <c r="H39" s="6"/>
      <c r="I39" s="6" t="str">
        <f>LEFT(L39,8)</f>
        <v>31.14437</v>
      </c>
      <c r="J39" s="6" t="str">
        <f>RIGHT(L39,10)</f>
        <v>-103.37367</v>
      </c>
      <c r="K39" s="6"/>
      <c r="L39" s="7" t="s">
        <v>223</v>
      </c>
    </row>
    <row r="40" spans="1:12" x14ac:dyDescent="0.25">
      <c r="A40" t="s">
        <v>189</v>
      </c>
      <c r="B40">
        <v>2771</v>
      </c>
      <c r="C40">
        <v>2868.03</v>
      </c>
      <c r="D40">
        <v>42.04</v>
      </c>
      <c r="F40" s="5" t="str">
        <f>LEFT(I40,6)</f>
        <v>31.176</v>
      </c>
      <c r="G40" s="6" t="str">
        <f>LEFT(J40,8)</f>
        <v>-103.375</v>
      </c>
      <c r="H40" s="6"/>
      <c r="I40" s="6" t="str">
        <f>LEFT(L40,8)</f>
        <v>31.17615</v>
      </c>
      <c r="J40" s="6" t="str">
        <f>RIGHT(L40,10)</f>
        <v>-103.37515</v>
      </c>
      <c r="K40" s="6"/>
      <c r="L40" s="7" t="s">
        <v>220</v>
      </c>
    </row>
    <row r="41" spans="1:12" x14ac:dyDescent="0.25">
      <c r="A41" t="s">
        <v>190</v>
      </c>
      <c r="B41">
        <v>2565</v>
      </c>
      <c r="C41">
        <v>2779.75</v>
      </c>
      <c r="D41">
        <v>93.05</v>
      </c>
      <c r="F41" s="5" t="str">
        <f>LEFT(I41,6)</f>
        <v>31.321</v>
      </c>
      <c r="G41" s="6" t="str">
        <f>LEFT(J41,8)</f>
        <v>-103.427</v>
      </c>
      <c r="H41" s="6"/>
      <c r="I41" s="6" t="str">
        <f>LEFT(L41,8)</f>
        <v>31.32163</v>
      </c>
      <c r="J41" s="6" t="str">
        <f>RIGHT(L41,10)</f>
        <v>-103.42740</v>
      </c>
      <c r="K41" s="6"/>
      <c r="L41" s="7" t="s">
        <v>231</v>
      </c>
    </row>
    <row r="42" spans="1:12" x14ac:dyDescent="0.25">
      <c r="A42" t="s">
        <v>191</v>
      </c>
      <c r="B42">
        <v>2571</v>
      </c>
      <c r="C42">
        <v>2755.95</v>
      </c>
      <c r="D42">
        <v>80.14</v>
      </c>
      <c r="F42" s="5" t="str">
        <f>LEFT(I42,6)</f>
        <v>31.384</v>
      </c>
      <c r="G42" s="6" t="str">
        <f>LEFT(J42,8)</f>
        <v>-103.473</v>
      </c>
      <c r="H42" s="6"/>
      <c r="I42" s="6" t="str">
        <f>LEFT(L42,8)</f>
        <v>31.38481</v>
      </c>
      <c r="J42" s="6" t="str">
        <f>RIGHT(L42,10)</f>
        <v>-103.47349</v>
      </c>
      <c r="K42" s="6"/>
      <c r="L42" s="7" t="s">
        <v>234</v>
      </c>
    </row>
    <row r="43" spans="1:12" x14ac:dyDescent="0.25">
      <c r="A43" t="s">
        <v>192</v>
      </c>
      <c r="B43">
        <v>2581</v>
      </c>
      <c r="C43">
        <v>2755.47</v>
      </c>
      <c r="D43">
        <v>75.599999999999994</v>
      </c>
      <c r="F43" s="5" t="str">
        <f>LEFT(I43,6)</f>
        <v>31.385</v>
      </c>
      <c r="G43" s="6" t="str">
        <f>LEFT(J43,8)</f>
        <v>-103.482</v>
      </c>
      <c r="H43" s="6"/>
      <c r="I43" s="6" t="str">
        <f>LEFT(L43,8)</f>
        <v>31.38509</v>
      </c>
      <c r="J43" s="6" t="str">
        <f>RIGHT(L43,10)</f>
        <v>-103.48242</v>
      </c>
      <c r="K43" s="6"/>
      <c r="L43" s="7" t="s">
        <v>235</v>
      </c>
    </row>
    <row r="44" spans="1:12" x14ac:dyDescent="0.25">
      <c r="A44" t="s">
        <v>193</v>
      </c>
      <c r="B44">
        <v>2806</v>
      </c>
      <c r="C44">
        <v>2890.74</v>
      </c>
      <c r="D44">
        <v>36.72</v>
      </c>
      <c r="F44" s="5" t="str">
        <f>LEFT(I44,6)</f>
        <v>31.119</v>
      </c>
      <c r="G44" s="6" t="str">
        <f>LEFT(J44,8)</f>
        <v>-103.380</v>
      </c>
      <c r="H44" s="6"/>
      <c r="I44" s="6" t="str">
        <f>LEFT(L44,8)</f>
        <v>31.11903</v>
      </c>
      <c r="J44" s="6" t="str">
        <f>RIGHT(L44,11)</f>
        <v>-103.380702</v>
      </c>
      <c r="K44" s="6"/>
      <c r="L44" s="7" t="s">
        <v>243</v>
      </c>
    </row>
    <row r="45" spans="1:12" x14ac:dyDescent="0.25">
      <c r="A45" t="s">
        <v>194</v>
      </c>
      <c r="B45">
        <v>2804.14</v>
      </c>
      <c r="C45">
        <v>2898.25</v>
      </c>
      <c r="D45">
        <v>40.78</v>
      </c>
      <c r="F45" s="5" t="str">
        <f>LEFT(I45,6)</f>
        <v>31.115</v>
      </c>
      <c r="G45" s="6" t="str">
        <f>LEFT(J45,8)</f>
        <v>-103.388</v>
      </c>
      <c r="H45" s="6"/>
      <c r="I45" s="6" t="str">
        <f>LEFT(L45,9)</f>
        <v>31.115907</v>
      </c>
      <c r="J45" s="6" t="str">
        <f>RIGHT(L45,11)</f>
        <v>-103.388827</v>
      </c>
      <c r="K45" s="6"/>
      <c r="L45" s="7" t="s">
        <v>242</v>
      </c>
    </row>
    <row r="46" spans="1:12" x14ac:dyDescent="0.25">
      <c r="A46" t="s">
        <v>195</v>
      </c>
      <c r="B46">
        <v>2804.19</v>
      </c>
      <c r="C46">
        <v>2906.42</v>
      </c>
      <c r="D46">
        <v>44.3</v>
      </c>
      <c r="F46" s="5" t="str">
        <f>LEFT(I46,6)</f>
        <v>31.124</v>
      </c>
      <c r="G46" s="6" t="str">
        <f>LEFT(J46,8)</f>
        <v>-103.367</v>
      </c>
      <c r="H46" s="6"/>
      <c r="I46" s="6" t="str">
        <f>LEFT(L46,9)</f>
        <v>31.124011</v>
      </c>
      <c r="J46" s="6" t="str">
        <f>RIGHT(L46,11)</f>
        <v>-103.367881</v>
      </c>
      <c r="K46" s="6"/>
      <c r="L46" s="7" t="s">
        <v>259</v>
      </c>
    </row>
    <row r="47" spans="1:12" x14ac:dyDescent="0.25">
      <c r="A47" t="s">
        <v>196</v>
      </c>
      <c r="B47">
        <v>2798.89</v>
      </c>
      <c r="C47">
        <v>2857.87</v>
      </c>
      <c r="D47">
        <v>25.55</v>
      </c>
      <c r="F47" s="5" t="str">
        <f>LEFT(I47,6)</f>
        <v>31.124</v>
      </c>
      <c r="G47" s="6" t="str">
        <f>LEFT(J47,8)</f>
        <v>-103.377</v>
      </c>
      <c r="H47" s="6"/>
      <c r="I47" s="6" t="str">
        <f>LEFT(L47,9)</f>
        <v>31.124649</v>
      </c>
      <c r="J47" s="6" t="str">
        <f>RIGHT(L47,11)</f>
        <v>-103.377198</v>
      </c>
      <c r="K47" s="6"/>
      <c r="L47" s="7" t="s">
        <v>247</v>
      </c>
    </row>
    <row r="48" spans="1:12" x14ac:dyDescent="0.25">
      <c r="A48" t="s">
        <v>197</v>
      </c>
      <c r="B48">
        <v>2787.48</v>
      </c>
      <c r="C48">
        <v>2838.53</v>
      </c>
      <c r="D48">
        <v>22.12</v>
      </c>
      <c r="F48" s="5" t="str">
        <f>LEFT(I48,6)</f>
        <v>31.130</v>
      </c>
      <c r="G48" s="6" t="str">
        <f>LEFT(J48,8)</f>
        <v>-103.377</v>
      </c>
      <c r="H48" s="6"/>
      <c r="I48" s="6" t="str">
        <f>LEFT(L48,9)</f>
        <v>31.130966</v>
      </c>
      <c r="J48" s="6" t="str">
        <f>RIGHT(L48,11)</f>
        <v>-103.377124</v>
      </c>
      <c r="K48" s="6"/>
      <c r="L48" s="7" t="s">
        <v>253</v>
      </c>
    </row>
    <row r="49" spans="1:12" x14ac:dyDescent="0.25">
      <c r="A49" t="s">
        <v>198</v>
      </c>
      <c r="B49">
        <v>2781.53</v>
      </c>
      <c r="C49">
        <v>2831.71</v>
      </c>
      <c r="D49">
        <v>21.74</v>
      </c>
      <c r="F49" s="5" t="str">
        <f>LEFT(I49,6)</f>
        <v>31.135</v>
      </c>
      <c r="G49" s="6" t="str">
        <f>LEFT(J49,8)</f>
        <v>-103.380</v>
      </c>
      <c r="H49" s="6"/>
      <c r="I49" s="6" t="str">
        <f>LEFT(L49,9)</f>
        <v>31.135816</v>
      </c>
      <c r="J49" s="6" t="str">
        <f>RIGHT(L49,11)</f>
        <v>-103.380851</v>
      </c>
      <c r="K49" s="6"/>
      <c r="L49" s="7" t="s">
        <v>256</v>
      </c>
    </row>
    <row r="50" spans="1:12" x14ac:dyDescent="0.25">
      <c r="A50" t="s">
        <v>199</v>
      </c>
      <c r="B50">
        <v>2792.37</v>
      </c>
      <c r="C50">
        <v>2823.88</v>
      </c>
      <c r="D50">
        <v>13.65</v>
      </c>
      <c r="F50" s="5" t="str">
        <f>LEFT(I50,6)</f>
        <v>31.135</v>
      </c>
      <c r="G50" s="6" t="str">
        <f>LEFT(J50,8)</f>
        <v>-103.373</v>
      </c>
      <c r="H50" s="6"/>
      <c r="I50" s="6" t="str">
        <f>LEFT(L50,9)</f>
        <v>31.135433</v>
      </c>
      <c r="J50" s="6" t="str">
        <f>RIGHT(L50,11)</f>
        <v>-103.373919</v>
      </c>
      <c r="K50" s="6"/>
      <c r="L50" s="7" t="s">
        <v>257</v>
      </c>
    </row>
    <row r="51" spans="1:12" x14ac:dyDescent="0.25">
      <c r="A51" t="s">
        <v>200</v>
      </c>
      <c r="B51">
        <v>2820.27</v>
      </c>
      <c r="C51">
        <v>2951.46</v>
      </c>
      <c r="D51">
        <v>56.85</v>
      </c>
      <c r="F51" s="5" t="str">
        <f>LEFT(I51,6)</f>
        <v>31.113</v>
      </c>
      <c r="G51" s="6" t="str">
        <f>LEFT(J51,8)</f>
        <v>-103.357</v>
      </c>
      <c r="H51" s="6"/>
      <c r="I51" s="6" t="str">
        <f>LEFT(L51,9)</f>
        <v>31.113737</v>
      </c>
      <c r="J51" s="6" t="str">
        <f>RIGHT(L51,11)</f>
        <v>-103.357445</v>
      </c>
      <c r="K51" s="6"/>
      <c r="L51" s="7" t="s">
        <v>268</v>
      </c>
    </row>
    <row r="52" spans="1:12" x14ac:dyDescent="0.25">
      <c r="A52" t="s">
        <v>201</v>
      </c>
      <c r="B52">
        <v>2813.46</v>
      </c>
      <c r="C52">
        <v>2946.94</v>
      </c>
      <c r="D52">
        <v>57.84</v>
      </c>
      <c r="F52" s="5" t="str">
        <f>LEFT(I52,6)</f>
        <v>31.119</v>
      </c>
      <c r="G52" s="6" t="str">
        <f>LEFT(J52,8)</f>
        <v>-103.356</v>
      </c>
      <c r="H52" s="6"/>
      <c r="I52" s="6" t="str">
        <f>LEFT(L52,9)</f>
        <v>31.119544</v>
      </c>
      <c r="J52" s="6" t="str">
        <f>RIGHT(L52,11)</f>
        <v>-103.356699</v>
      </c>
      <c r="K52" s="6"/>
      <c r="L52" s="7" t="s">
        <v>265</v>
      </c>
    </row>
    <row r="53" spans="1:12" x14ac:dyDescent="0.25">
      <c r="A53" t="s">
        <v>202</v>
      </c>
      <c r="B53">
        <v>2802.59</v>
      </c>
      <c r="C53">
        <v>2945.29</v>
      </c>
      <c r="D53">
        <v>61.83</v>
      </c>
      <c r="F53" s="5" t="str">
        <f>LEFT(I53,6)</f>
        <v>31.126</v>
      </c>
      <c r="G53" s="6" t="str">
        <f>LEFT(J53,8)</f>
        <v>-103.356</v>
      </c>
      <c r="H53" s="6"/>
      <c r="I53" s="6" t="str">
        <f>LEFT(L53,9)</f>
        <v>31.126564</v>
      </c>
      <c r="J53" s="6" t="str">
        <f>RIGHT(L53,11)</f>
        <v>-103.356476</v>
      </c>
      <c r="K53" s="6"/>
      <c r="L53" s="7" t="s">
        <v>270</v>
      </c>
    </row>
    <row r="54" spans="1:12" x14ac:dyDescent="0.25">
      <c r="A54" t="s">
        <v>203</v>
      </c>
      <c r="B54">
        <v>2806.95</v>
      </c>
      <c r="C54">
        <v>2925.95</v>
      </c>
      <c r="D54">
        <v>51.56</v>
      </c>
      <c r="F54" s="5" t="str">
        <f>LEFT(I54,6)</f>
        <v>31.121</v>
      </c>
      <c r="G54" s="6" t="str">
        <f>LEFT(J54,8)</f>
        <v>-103.361</v>
      </c>
      <c r="H54" s="6"/>
      <c r="I54" s="6" t="str">
        <f>LEFT(L54,9)</f>
        <v>31.121522</v>
      </c>
      <c r="J54" s="6" t="str">
        <f>RIGHT(L54,11)</f>
        <v>-103.361768</v>
      </c>
      <c r="K54" s="6"/>
      <c r="L54" s="7" t="s">
        <v>263</v>
      </c>
    </row>
    <row r="55" spans="1:12" x14ac:dyDescent="0.25">
      <c r="A55" t="s">
        <v>204</v>
      </c>
      <c r="B55">
        <v>2597</v>
      </c>
      <c r="C55">
        <v>2677.87</v>
      </c>
      <c r="D55">
        <v>35.04</v>
      </c>
      <c r="F55" s="5" t="str">
        <f>LEFT(I55,6)</f>
        <v>31.393</v>
      </c>
      <c r="G55" s="6" t="str">
        <f>LEFT(J55,8)</f>
        <v>-103.508</v>
      </c>
      <c r="H55" s="6"/>
      <c r="I55" s="6" t="str">
        <f>LEFT(L55,9)</f>
        <v>31.393299</v>
      </c>
      <c r="J55" s="6" t="str">
        <f>RIGHT(L55,11)</f>
        <v>-103.508289</v>
      </c>
      <c r="K55" s="6"/>
      <c r="L55" s="7" t="s">
        <v>241</v>
      </c>
    </row>
    <row r="56" spans="1:12" x14ac:dyDescent="0.25">
      <c r="A56" t="s">
        <v>205</v>
      </c>
      <c r="B56">
        <v>2597</v>
      </c>
      <c r="C56">
        <v>2609.56</v>
      </c>
      <c r="D56">
        <v>5.44</v>
      </c>
      <c r="F56" s="5" t="str">
        <f>LEFT(I56,6)</f>
        <v>31.393</v>
      </c>
      <c r="G56" s="6" t="str">
        <f>LEFT(J56,8)</f>
        <v>-103.508</v>
      </c>
      <c r="H56" s="6"/>
      <c r="I56" s="6" t="str">
        <f>LEFT(L56,9)</f>
        <v>31.393299</v>
      </c>
      <c r="J56" s="6" t="str">
        <f>RIGHT(L56,11)</f>
        <v>-103.508289</v>
      </c>
      <c r="K56" s="6"/>
      <c r="L56" s="7" t="s">
        <v>241</v>
      </c>
    </row>
    <row r="57" spans="1:12" x14ac:dyDescent="0.25">
      <c r="A57" t="s">
        <v>206</v>
      </c>
      <c r="B57">
        <v>2597</v>
      </c>
      <c r="C57">
        <v>2678.01</v>
      </c>
      <c r="D57">
        <v>35.1</v>
      </c>
      <c r="F57" s="5" t="str">
        <f>LEFT(I57,6)</f>
        <v>31.393</v>
      </c>
      <c r="G57" s="6" t="str">
        <f>LEFT(J57,8)</f>
        <v>-103.508</v>
      </c>
      <c r="H57" s="6"/>
      <c r="I57" s="6" t="str">
        <f>LEFT(L57,9)</f>
        <v>31.393299</v>
      </c>
      <c r="J57" s="6" t="str">
        <f>RIGHT(L57,11)</f>
        <v>-103.508289</v>
      </c>
      <c r="K57" s="6"/>
      <c r="L57" s="7" t="s">
        <v>241</v>
      </c>
    </row>
    <row r="58" spans="1:12" x14ac:dyDescent="0.25">
      <c r="A58" t="s">
        <v>207</v>
      </c>
      <c r="B58">
        <v>2597</v>
      </c>
      <c r="C58">
        <v>2737.95</v>
      </c>
      <c r="D58">
        <v>61.07</v>
      </c>
      <c r="F58" s="5" t="str">
        <f>LEFT(I58,6)</f>
        <v>31.393</v>
      </c>
      <c r="G58" s="6" t="str">
        <f>LEFT(J58,8)</f>
        <v>-103.508</v>
      </c>
      <c r="H58" s="6"/>
      <c r="I58" s="6" t="str">
        <f>LEFT(L58,9)</f>
        <v>31.393299</v>
      </c>
      <c r="J58" s="6" t="str">
        <f>RIGHT(L58,11)</f>
        <v>-103.508289</v>
      </c>
      <c r="K58" s="6"/>
      <c r="L58" s="7" t="s">
        <v>241</v>
      </c>
    </row>
    <row r="59" spans="1:12" x14ac:dyDescent="0.25">
      <c r="A59" t="s">
        <v>208</v>
      </c>
      <c r="B59">
        <v>2597</v>
      </c>
      <c r="C59">
        <v>2611.19</v>
      </c>
      <c r="D59">
        <v>6.15</v>
      </c>
      <c r="F59" s="5" t="str">
        <f>LEFT(I59,6)</f>
        <v>31.393</v>
      </c>
      <c r="G59" s="6" t="str">
        <f>LEFT(J59,8)</f>
        <v>-103.508</v>
      </c>
      <c r="H59" s="6"/>
      <c r="I59" s="6" t="str">
        <f>LEFT(L59,9)</f>
        <v>31.393299</v>
      </c>
      <c r="J59" s="6" t="str">
        <f>RIGHT(L59,11)</f>
        <v>-103.508289</v>
      </c>
      <c r="K59" s="6"/>
      <c r="L59" s="7" t="s">
        <v>241</v>
      </c>
    </row>
    <row r="60" spans="1:12" x14ac:dyDescent="0.25">
      <c r="A60" t="s">
        <v>209</v>
      </c>
      <c r="B60">
        <v>2792</v>
      </c>
      <c r="C60">
        <v>2890.29</v>
      </c>
      <c r="D60">
        <v>42.59</v>
      </c>
      <c r="F60" s="5" t="str">
        <f>LEFT(I60,6)</f>
        <v>31.141</v>
      </c>
      <c r="G60" s="6" t="str">
        <f>LEFT(J60,8)</f>
        <v>-103.375</v>
      </c>
      <c r="H60" s="6"/>
      <c r="I60" s="6" t="str">
        <f>LEFT(L60,9)</f>
        <v>31.141303</v>
      </c>
      <c r="J60" s="6" t="str">
        <f>RIGHT(L60,11)</f>
        <v>-103.375235</v>
      </c>
      <c r="K60" s="6"/>
      <c r="L60" s="7" t="s">
        <v>225</v>
      </c>
    </row>
    <row r="61" spans="1:12" x14ac:dyDescent="0.25">
      <c r="A61" t="s">
        <v>313</v>
      </c>
      <c r="B61">
        <v>2792</v>
      </c>
      <c r="C61">
        <v>2806.31</v>
      </c>
      <c r="D61">
        <v>6.2</v>
      </c>
      <c r="F61" s="5" t="str">
        <f>LEFT(I61,6)</f>
        <v>31.115</v>
      </c>
      <c r="G61" s="6" t="str">
        <f>LEFT(J61,8)</f>
        <v>-103.388</v>
      </c>
      <c r="H61" s="6"/>
      <c r="I61" s="6" t="str">
        <f>LEFT(L61,9)</f>
        <v>31.115907</v>
      </c>
      <c r="J61" s="6" t="str">
        <f>RIGHT(L61,11)</f>
        <v>-103.388827</v>
      </c>
      <c r="K61" s="6"/>
      <c r="L61" s="7" t="s">
        <v>242</v>
      </c>
    </row>
    <row r="62" spans="1:12" x14ac:dyDescent="0.25">
      <c r="A62" t="s">
        <v>314</v>
      </c>
      <c r="B62">
        <v>2792</v>
      </c>
      <c r="C62">
        <v>2806.29</v>
      </c>
      <c r="D62">
        <v>6.19</v>
      </c>
      <c r="F62" s="5" t="str">
        <f>LEFT(I62,6)</f>
        <v>31.119</v>
      </c>
      <c r="G62" s="6" t="str">
        <f>LEFT(J62,8)</f>
        <v>-103.380</v>
      </c>
      <c r="H62" s="6"/>
      <c r="I62" s="6" t="str">
        <f>LEFT(L62,9)</f>
        <v>31.119034</v>
      </c>
      <c r="J62" s="6" t="str">
        <f>RIGHT(L62,11)</f>
        <v>-103.380702</v>
      </c>
      <c r="K62" s="6"/>
      <c r="L62" s="7" t="s">
        <v>243</v>
      </c>
    </row>
    <row r="63" spans="1:12" x14ac:dyDescent="0.25">
      <c r="A63" t="s">
        <v>311</v>
      </c>
      <c r="B63">
        <v>2571</v>
      </c>
      <c r="C63">
        <v>2755.94</v>
      </c>
      <c r="D63">
        <v>80.13</v>
      </c>
      <c r="F63" s="5" t="str">
        <f>LEFT(I63,6)</f>
        <v>31.122</v>
      </c>
      <c r="G63" s="6" t="str">
        <f>LEFT(J63,8)</f>
        <v>-103.387</v>
      </c>
      <c r="H63" s="6"/>
      <c r="I63" s="6" t="str">
        <f>LEFT(L63,9)</f>
        <v>31.122416</v>
      </c>
      <c r="J63" s="6" t="str">
        <f>RIGHT(L63,11)</f>
        <v>-103.387933</v>
      </c>
      <c r="K63" s="6"/>
      <c r="L63" s="7" t="s">
        <v>244</v>
      </c>
    </row>
    <row r="64" spans="1:12" x14ac:dyDescent="0.25">
      <c r="A64" t="s">
        <v>312</v>
      </c>
      <c r="B64">
        <v>2598</v>
      </c>
      <c r="C64">
        <v>2629.28</v>
      </c>
      <c r="D64">
        <v>13.55</v>
      </c>
      <c r="F64" s="5" t="str">
        <f>LEFT(I64,6)</f>
        <v>31.126</v>
      </c>
      <c r="G64" s="6" t="str">
        <f>LEFT(J64,8)</f>
        <v>-103.382</v>
      </c>
      <c r="H64" s="6"/>
      <c r="I64" s="6" t="str">
        <f>LEFT(L64,9)</f>
        <v>31.126755</v>
      </c>
      <c r="J64" s="6" t="str">
        <f>RIGHT(L64,11)</f>
        <v>-103.382640</v>
      </c>
      <c r="K64" s="6"/>
      <c r="L64" s="7" t="s">
        <v>251</v>
      </c>
    </row>
    <row r="65" spans="1:12" x14ac:dyDescent="0.25">
      <c r="A65" t="s">
        <v>290</v>
      </c>
      <c r="B65">
        <v>2330</v>
      </c>
      <c r="C65">
        <v>2330</v>
      </c>
      <c r="D65">
        <v>0</v>
      </c>
      <c r="F65" s="5" t="str">
        <f>LEFT(I65,6)</f>
        <v>31.117</v>
      </c>
      <c r="G65" s="6" t="str">
        <f>LEFT(J65,8)</f>
        <v>-103.368</v>
      </c>
      <c r="H65" s="6"/>
      <c r="I65" s="6" t="str">
        <f>LEFT(L65,9)</f>
        <v>31.117247</v>
      </c>
      <c r="J65" s="6" t="str">
        <f>RIGHT(L65,11)</f>
        <v>-103.368104</v>
      </c>
      <c r="K65" s="6"/>
      <c r="L65" s="7" t="s">
        <v>262</v>
      </c>
    </row>
    <row r="66" spans="1:12" x14ac:dyDescent="0.25">
      <c r="A66" t="s">
        <v>291</v>
      </c>
      <c r="B66">
        <v>2330</v>
      </c>
      <c r="C66">
        <v>2330</v>
      </c>
      <c r="D66">
        <v>0</v>
      </c>
      <c r="F66" s="5" t="str">
        <f>LEFT(I66,6)</f>
        <v>31.126</v>
      </c>
      <c r="G66" s="6" t="str">
        <f>LEFT(J66,8)</f>
        <v>-103.356</v>
      </c>
      <c r="H66" s="6"/>
      <c r="I66" s="6" t="str">
        <f>LEFT(L66,9)</f>
        <v>31.126564</v>
      </c>
      <c r="J66" s="6" t="str">
        <f>RIGHT(L66,11)</f>
        <v>-103.356476</v>
      </c>
      <c r="K66" s="6"/>
      <c r="L66" s="7" t="s">
        <v>270</v>
      </c>
    </row>
    <row r="67" spans="1:12" x14ac:dyDescent="0.25">
      <c r="A67" t="s">
        <v>292</v>
      </c>
      <c r="B67">
        <v>2330</v>
      </c>
      <c r="C67">
        <v>2330</v>
      </c>
      <c r="D67">
        <v>0</v>
      </c>
      <c r="F67" s="5" t="str">
        <f>LEFT(I67,6)</f>
        <v>31.119</v>
      </c>
      <c r="G67" s="6" t="str">
        <f>LEFT(J67,8)</f>
        <v>-103.356</v>
      </c>
      <c r="H67" s="6"/>
      <c r="I67" s="6" t="str">
        <f>LEFT(L67,9)</f>
        <v>31.119544</v>
      </c>
      <c r="J67" s="6" t="str">
        <f>RIGHT(L67,11)</f>
        <v>-103.356699</v>
      </c>
      <c r="K67" s="6"/>
      <c r="L67" s="7" t="s">
        <v>265</v>
      </c>
    </row>
    <row r="68" spans="1:12" x14ac:dyDescent="0.25">
      <c r="A68" t="s">
        <v>293</v>
      </c>
      <c r="B68">
        <v>2330</v>
      </c>
      <c r="C68">
        <v>2330</v>
      </c>
      <c r="D68">
        <v>0</v>
      </c>
      <c r="F68" s="5" t="str">
        <f>LEFT(I68,6)</f>
        <v>31.113</v>
      </c>
      <c r="G68" s="6" t="str">
        <f>LEFT(J68,8)</f>
        <v>-103.357</v>
      </c>
      <c r="H68" s="6"/>
      <c r="I68" s="6" t="str">
        <f>LEFT(L68,9)</f>
        <v>31.113737</v>
      </c>
      <c r="J68" s="6" t="str">
        <f>RIGHT(L68,11)</f>
        <v>-103.357445</v>
      </c>
      <c r="K68" s="6"/>
      <c r="L68" s="7" t="s">
        <v>268</v>
      </c>
    </row>
    <row r="69" spans="1:12" x14ac:dyDescent="0.25">
      <c r="A69" t="s">
        <v>294</v>
      </c>
      <c r="B69">
        <v>2330</v>
      </c>
      <c r="C69">
        <v>2330</v>
      </c>
      <c r="D69">
        <v>0</v>
      </c>
      <c r="F69" s="5" t="str">
        <f>LEFT(I69,6)</f>
        <v>31.123</v>
      </c>
      <c r="G69" s="6" t="str">
        <f>LEFT(J69,8)</f>
        <v>-103.368</v>
      </c>
      <c r="H69" s="6"/>
      <c r="I69" s="6" t="str">
        <f>LEFT(L69,9)</f>
        <v>31.123373</v>
      </c>
      <c r="J69" s="6" t="str">
        <f>RIGHT(L69,11)</f>
        <v>-103.368104</v>
      </c>
      <c r="K69" s="6"/>
      <c r="L69" s="7" t="s">
        <v>260</v>
      </c>
    </row>
    <row r="70" spans="1:12" x14ac:dyDescent="0.25">
      <c r="A70" t="s">
        <v>271</v>
      </c>
      <c r="B70">
        <v>2330</v>
      </c>
      <c r="C70">
        <v>2330</v>
      </c>
      <c r="D70">
        <v>0</v>
      </c>
      <c r="F70" s="5" t="str">
        <f>LEFT(I70,6)</f>
        <v>31.124</v>
      </c>
      <c r="G70" s="6" t="str">
        <f>LEFT(J70,8)</f>
        <v>-103.377</v>
      </c>
      <c r="H70" s="6"/>
      <c r="I70" s="6" t="str">
        <f>LEFT(L70,9)</f>
        <v>31.124649</v>
      </c>
      <c r="J70" s="6" t="str">
        <f>RIGHT(L70,11)</f>
        <v>-103.377198</v>
      </c>
      <c r="K70" s="6"/>
      <c r="L70" s="7" t="s">
        <v>247</v>
      </c>
    </row>
    <row r="71" spans="1:12" x14ac:dyDescent="0.25">
      <c r="A71" t="s">
        <v>295</v>
      </c>
      <c r="B71">
        <v>2330</v>
      </c>
      <c r="C71">
        <v>2330</v>
      </c>
      <c r="D71">
        <v>0</v>
      </c>
      <c r="F71" s="5" t="str">
        <f>LEFT(I71,6)</f>
        <v>31.130</v>
      </c>
      <c r="G71" s="6" t="str">
        <f>LEFT(J71,8)</f>
        <v>-103.377</v>
      </c>
      <c r="H71" s="6"/>
      <c r="I71" s="6" t="str">
        <f>LEFT(L71,9)</f>
        <v>31.130966</v>
      </c>
      <c r="J71" s="6" t="str">
        <f>RIGHT(L71,11)</f>
        <v>-103.377124</v>
      </c>
      <c r="K71" s="6"/>
      <c r="L71" s="7" t="s">
        <v>253</v>
      </c>
    </row>
    <row r="72" spans="1:12" x14ac:dyDescent="0.25">
      <c r="A72" t="s">
        <v>296</v>
      </c>
      <c r="B72">
        <v>2330</v>
      </c>
      <c r="C72">
        <v>2330</v>
      </c>
      <c r="D72">
        <v>0</v>
      </c>
      <c r="F72" s="5" t="str">
        <f>LEFT(I72,6)</f>
        <v>31.135</v>
      </c>
      <c r="G72" s="6" t="str">
        <f>LEFT(J72,8)</f>
        <v>-103.380</v>
      </c>
      <c r="H72" s="6"/>
      <c r="I72" s="6" t="str">
        <f>LEFT(L72,9)</f>
        <v>31.135816</v>
      </c>
      <c r="J72" s="6" t="str">
        <f>RIGHT(L72,11)</f>
        <v>-103.380851</v>
      </c>
      <c r="K72" s="6"/>
      <c r="L72" s="7" t="s">
        <v>256</v>
      </c>
    </row>
    <row r="73" spans="1:12" x14ac:dyDescent="0.25">
      <c r="A73" t="s">
        <v>297</v>
      </c>
      <c r="B73">
        <v>2330</v>
      </c>
      <c r="C73">
        <v>2330</v>
      </c>
      <c r="D73">
        <v>0</v>
      </c>
      <c r="F73" s="5" t="str">
        <f>LEFT(I73,6)</f>
        <v>31.135</v>
      </c>
      <c r="G73" s="6" t="str">
        <f>LEFT(J73,8)</f>
        <v>-103.373</v>
      </c>
      <c r="H73" s="6"/>
      <c r="I73" s="6" t="str">
        <f>LEFT(L73,9)</f>
        <v>31.135433</v>
      </c>
      <c r="J73" s="6" t="str">
        <f>RIGHT(L73,11)</f>
        <v>-103.373919</v>
      </c>
      <c r="K73" s="6"/>
      <c r="L73" s="7" t="s">
        <v>257</v>
      </c>
    </row>
    <row r="74" spans="1:12" x14ac:dyDescent="0.25">
      <c r="A74" t="s">
        <v>298</v>
      </c>
      <c r="B74">
        <v>2330</v>
      </c>
      <c r="C74">
        <v>2330</v>
      </c>
      <c r="D74">
        <v>0</v>
      </c>
      <c r="F74" s="5" t="str">
        <f>LEFT(I74,6)</f>
        <v>31.121</v>
      </c>
      <c r="G74" s="6" t="str">
        <f>LEFT(J74,8)</f>
        <v>-103.361</v>
      </c>
      <c r="H74" s="6"/>
      <c r="I74" s="6" t="str">
        <f>LEFT(L74,9)</f>
        <v>31.121522</v>
      </c>
      <c r="J74" s="6" t="str">
        <f>RIGHT(L74,11)</f>
        <v>-103.361768</v>
      </c>
      <c r="K74" s="6"/>
      <c r="L74" s="7" t="s">
        <v>263</v>
      </c>
    </row>
    <row r="75" spans="1:12" x14ac:dyDescent="0.25">
      <c r="A75" t="s">
        <v>299</v>
      </c>
      <c r="B75">
        <v>2330</v>
      </c>
      <c r="C75">
        <v>2330</v>
      </c>
      <c r="D75">
        <v>0</v>
      </c>
      <c r="F75" s="5" t="str">
        <f>LEFT(I75,6)</f>
        <v>31.392</v>
      </c>
      <c r="G75" s="6" t="str">
        <f>LEFT(J75,8)</f>
        <v>-103.508</v>
      </c>
      <c r="H75" s="6"/>
      <c r="I75" s="6" t="str">
        <f>LEFT(L75,9)</f>
        <v>31.392415</v>
      </c>
      <c r="J75" s="6" t="str">
        <f>RIGHT(L75,11)</f>
        <v>-103.508212</v>
      </c>
      <c r="K75" s="6"/>
      <c r="L75" s="7" t="s">
        <v>239</v>
      </c>
    </row>
    <row r="76" spans="1:12" x14ac:dyDescent="0.25">
      <c r="A76" t="s">
        <v>276</v>
      </c>
      <c r="B76">
        <v>2330</v>
      </c>
      <c r="C76">
        <v>2330</v>
      </c>
      <c r="D76">
        <v>0</v>
      </c>
      <c r="F76" s="5" t="str">
        <f>LEFT(I76,6)</f>
        <v>31.140</v>
      </c>
      <c r="G76" s="6" t="str">
        <f>LEFT(J76,8)</f>
        <v>-103.375</v>
      </c>
      <c r="H76" s="6"/>
      <c r="I76" s="6" t="str">
        <f>LEFT(L76,9)</f>
        <v>31.140878</v>
      </c>
      <c r="J76" s="6" t="str">
        <f>RIGHT(L76,11)</f>
        <v>-103.375600</v>
      </c>
      <c r="K76" s="6"/>
      <c r="L76" s="7" t="s">
        <v>226</v>
      </c>
    </row>
    <row r="77" spans="1:12" x14ac:dyDescent="0.25">
      <c r="A77" t="s">
        <v>300</v>
      </c>
      <c r="B77">
        <v>2330</v>
      </c>
      <c r="C77">
        <v>2330</v>
      </c>
      <c r="D77">
        <v>0</v>
      </c>
      <c r="F77" s="5" t="str">
        <f>LEFT(I77,6)</f>
        <v>31.140</v>
      </c>
      <c r="G77" s="6" t="str">
        <f>LEFT(J77,8)</f>
        <v>-103.375</v>
      </c>
      <c r="H77" s="6"/>
      <c r="I77" s="6" t="str">
        <f>LEFT(L77,9)</f>
        <v>31.140679</v>
      </c>
      <c r="J77" s="6" t="str">
        <f>RIGHT(L77,11)</f>
        <v>-103.375833</v>
      </c>
      <c r="K77" s="6"/>
      <c r="L77" s="7" t="s">
        <v>227</v>
      </c>
    </row>
    <row r="78" spans="1:12" ht="15.75" thickBot="1" x14ac:dyDescent="0.3">
      <c r="A78" t="s">
        <v>301</v>
      </c>
      <c r="B78">
        <v>2330</v>
      </c>
      <c r="C78">
        <v>2330</v>
      </c>
      <c r="D78">
        <v>0</v>
      </c>
      <c r="F78" s="9" t="str">
        <f>LEFT(I78,6)</f>
        <v>31.392</v>
      </c>
      <c r="G78" s="10" t="str">
        <f>LEFT(J78,8)</f>
        <v>-103.507</v>
      </c>
      <c r="H78" s="10"/>
      <c r="I78" s="10" t="str">
        <f>LEFT(L78,9)</f>
        <v>31.392650</v>
      </c>
      <c r="J78" s="10" t="str">
        <f>RIGHT(L78,11)</f>
        <v>-103.507661</v>
      </c>
      <c r="K78" s="10"/>
      <c r="L78" s="11" t="s">
        <v>240</v>
      </c>
    </row>
    <row r="79" spans="1:12" x14ac:dyDescent="0.25">
      <c r="A79" t="s">
        <v>210</v>
      </c>
      <c r="B79">
        <v>2597</v>
      </c>
      <c r="C79">
        <v>2612</v>
      </c>
      <c r="D79">
        <v>6.5</v>
      </c>
    </row>
    <row r="80" spans="1:12" x14ac:dyDescent="0.25">
      <c r="A80" t="s">
        <v>211</v>
      </c>
      <c r="B80">
        <v>2791</v>
      </c>
      <c r="C80">
        <v>2806.47</v>
      </c>
      <c r="D80">
        <v>6.7</v>
      </c>
    </row>
    <row r="81" spans="1:4" x14ac:dyDescent="0.25">
      <c r="A81" t="s">
        <v>212</v>
      </c>
      <c r="B81">
        <v>2791</v>
      </c>
      <c r="C81">
        <v>2808.55</v>
      </c>
      <c r="D81">
        <v>7.61</v>
      </c>
    </row>
    <row r="82" spans="1:4" x14ac:dyDescent="0.25">
      <c r="A82" t="s">
        <v>213</v>
      </c>
      <c r="B82">
        <v>2598</v>
      </c>
      <c r="C82">
        <v>2613</v>
      </c>
      <c r="D82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Links</vt:lpstr>
      <vt:lpstr>Nodes</vt:lpstr>
      <vt:lpstr>VelocityHead</vt:lpstr>
      <vt:lpstr>Sheet1</vt:lpstr>
      <vt:lpstr>Case1</vt:lpstr>
      <vt:lpstr>Case2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Cleveland, Theodore</cp:lastModifiedBy>
  <cp:revision>3</cp:revision>
  <dcterms:created xsi:type="dcterms:W3CDTF">2015-06-05T18:17:20Z</dcterms:created>
  <dcterms:modified xsi:type="dcterms:W3CDTF">2024-01-23T17:57:32Z</dcterms:modified>
  <dc:language>en-US</dc:language>
</cp:coreProperties>
</file>