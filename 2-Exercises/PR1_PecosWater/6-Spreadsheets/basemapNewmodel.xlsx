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clevel\Desktop\PecosPipeline\Spreadsheets\"/>
    </mc:Choice>
  </mc:AlternateContent>
  <bookViews>
    <workbookView xWindow="0" yWindow="0" windowWidth="9900" windowHeight="13110" activeTab="2"/>
  </bookViews>
  <sheets>
    <sheet name="Sheet1" sheetId="1" r:id="rId1"/>
    <sheet name="Sheet3" sheetId="3" r:id="rId2"/>
    <sheet name="ID-lat-lon-in-order" sheetId="4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4" l="1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G67" i="4"/>
  <c r="G8" i="4"/>
  <c r="G9" i="4"/>
  <c r="G10" i="4"/>
  <c r="G95" i="4"/>
  <c r="G96" i="4"/>
  <c r="G97" i="4"/>
  <c r="G98" i="4"/>
  <c r="G99" i="4"/>
  <c r="G100" i="4"/>
  <c r="G101" i="4"/>
  <c r="G102" i="4"/>
  <c r="G103" i="4"/>
  <c r="G104" i="4"/>
  <c r="G105" i="4"/>
  <c r="G106" i="4"/>
  <c r="G11" i="4"/>
  <c r="G12" i="4"/>
  <c r="G13" i="4"/>
  <c r="G14" i="4"/>
  <c r="G15" i="4"/>
  <c r="G16" i="4"/>
  <c r="G17" i="4"/>
  <c r="G18" i="4"/>
  <c r="G28" i="4"/>
  <c r="G29" i="4"/>
  <c r="G30" i="4"/>
  <c r="G40" i="4"/>
  <c r="G41" i="4"/>
  <c r="G42" i="4"/>
  <c r="G57" i="4"/>
  <c r="G58" i="4"/>
  <c r="G59" i="4"/>
  <c r="G60" i="4"/>
  <c r="G61" i="4"/>
  <c r="G62" i="4"/>
  <c r="G63" i="4"/>
  <c r="G64" i="4"/>
  <c r="G65" i="4"/>
  <c r="G66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D6" i="2" l="1"/>
  <c r="D7" i="2" s="1"/>
  <c r="D10" i="2" s="1"/>
  <c r="D11" i="2" s="1"/>
  <c r="D12" i="2" s="1"/>
</calcChain>
</file>

<file path=xl/sharedStrings.xml><?xml version="1.0" encoding="utf-8"?>
<sst xmlns="http://schemas.openxmlformats.org/spreadsheetml/2006/main" count="2412" uniqueCount="819">
  <si>
    <t xml:space="preserve">Open  </t>
  </si>
  <si>
    <t>;</t>
  </si>
  <si>
    <t xml:space="preserve">J67             </t>
  </si>
  <si>
    <t xml:space="preserve">J65             </t>
  </si>
  <si>
    <t xml:space="preserve">J64             </t>
  </si>
  <si>
    <t xml:space="preserve">J62             </t>
  </si>
  <si>
    <t xml:space="preserve">J61             </t>
  </si>
  <si>
    <t xml:space="preserve">J60             </t>
  </si>
  <si>
    <t xml:space="preserve">J59             </t>
  </si>
  <si>
    <t xml:space="preserve">J58             </t>
  </si>
  <si>
    <t xml:space="preserve">J56             </t>
  </si>
  <si>
    <t xml:space="preserve">J55             </t>
  </si>
  <si>
    <t xml:space="preserve">J53             </t>
  </si>
  <si>
    <t xml:space="preserve">J52             </t>
  </si>
  <si>
    <t xml:space="preserve">J51             </t>
  </si>
  <si>
    <t xml:space="preserve">J50             </t>
  </si>
  <si>
    <t xml:space="preserve">J82             </t>
  </si>
  <si>
    <t xml:space="preserve">J81             </t>
  </si>
  <si>
    <t xml:space="preserve">J80             </t>
  </si>
  <si>
    <t xml:space="preserve">J78             </t>
  </si>
  <si>
    <t xml:space="preserve">J79             </t>
  </si>
  <si>
    <t xml:space="preserve">J76             </t>
  </si>
  <si>
    <t xml:space="preserve">J74             </t>
  </si>
  <si>
    <t xml:space="preserve">J72             </t>
  </si>
  <si>
    <t xml:space="preserve">J71             </t>
  </si>
  <si>
    <t xml:space="preserve">J69             </t>
  </si>
  <si>
    <t xml:space="preserve">J77             </t>
  </si>
  <si>
    <t xml:space="preserve">J73             </t>
  </si>
  <si>
    <t xml:space="preserve">J66             </t>
  </si>
  <si>
    <t xml:space="preserve">J68             </t>
  </si>
  <si>
    <t xml:space="preserve">J63             </t>
  </si>
  <si>
    <t xml:space="preserve">J83             </t>
  </si>
  <si>
    <t xml:space="preserve">J54             </t>
  </si>
  <si>
    <t xml:space="preserve">J57             </t>
  </si>
  <si>
    <t xml:space="preserve">J70             </t>
  </si>
  <si>
    <t>Wellfield Nominal (gpm)</t>
  </si>
  <si>
    <t>Time To Fill (minutes)</t>
  </si>
  <si>
    <t>Time to Fill (hours)</t>
  </si>
  <si>
    <t>Time to Fill (days)</t>
  </si>
  <si>
    <t>Volumes</t>
  </si>
  <si>
    <t>ISR1</t>
  </si>
  <si>
    <t>ISR2</t>
  </si>
  <si>
    <t>TSR1</t>
  </si>
  <si>
    <t>TSR2</t>
  </si>
  <si>
    <t>Pipeline</t>
  </si>
  <si>
    <t>gal</t>
  </si>
  <si>
    <t>&lt;= 21 miles of 18" ID pipe</t>
  </si>
  <si>
    <t>System Volume</t>
  </si>
  <si>
    <t>minutes</t>
  </si>
  <si>
    <t>hours</t>
  </si>
  <si>
    <t>days</t>
  </si>
  <si>
    <t>Fill/Drain Times</t>
  </si>
  <si>
    <t>gpm</t>
  </si>
  <si>
    <t>&lt;= All wells@full capacity</t>
  </si>
  <si>
    <t xml:space="preserve"> J1              </t>
  </si>
  <si>
    <t xml:space="preserve"> J2              </t>
  </si>
  <si>
    <t xml:space="preserve"> J3              </t>
  </si>
  <si>
    <t xml:space="preserve"> J4              </t>
  </si>
  <si>
    <t xml:space="preserve"> J5              </t>
  </si>
  <si>
    <t xml:space="preserve"> J6              </t>
  </si>
  <si>
    <t xml:space="preserve"> J7              </t>
  </si>
  <si>
    <t xml:space="preserve"> J8              </t>
  </si>
  <si>
    <t xml:space="preserve"> J9              </t>
  </si>
  <si>
    <t xml:space="preserve"> J10             </t>
  </si>
  <si>
    <t xml:space="preserve"> J11             </t>
  </si>
  <si>
    <t xml:space="preserve"> J12             </t>
  </si>
  <si>
    <t xml:space="preserve"> J13             </t>
  </si>
  <si>
    <t xml:space="preserve"> J14             </t>
  </si>
  <si>
    <t xml:space="preserve"> J15             </t>
  </si>
  <si>
    <t xml:space="preserve"> J16             </t>
  </si>
  <si>
    <t xml:space="preserve"> J17             </t>
  </si>
  <si>
    <t xml:space="preserve"> J18             </t>
  </si>
  <si>
    <t xml:space="preserve"> J19             </t>
  </si>
  <si>
    <t xml:space="preserve"> J20             </t>
  </si>
  <si>
    <t xml:space="preserve"> J21             </t>
  </si>
  <si>
    <t xml:space="preserve"> J22             </t>
  </si>
  <si>
    <t xml:space="preserve"> J23             </t>
  </si>
  <si>
    <t xml:space="preserve"> J24             </t>
  </si>
  <si>
    <t xml:space="preserve"> J25             </t>
  </si>
  <si>
    <t xml:space="preserve"> J26             </t>
  </si>
  <si>
    <t xml:space="preserve"> J27             </t>
  </si>
  <si>
    <t xml:space="preserve"> J28             </t>
  </si>
  <si>
    <t xml:space="preserve"> J29             </t>
  </si>
  <si>
    <t xml:space="preserve"> J30             </t>
  </si>
  <si>
    <t xml:space="preserve"> J31             </t>
  </si>
  <si>
    <t xml:space="preserve"> J32             </t>
  </si>
  <si>
    <t xml:space="preserve"> J33             </t>
  </si>
  <si>
    <t xml:space="preserve"> J34             </t>
  </si>
  <si>
    <t xml:space="preserve"> J35             </t>
  </si>
  <si>
    <t xml:space="preserve"> J36             </t>
  </si>
  <si>
    <t xml:space="preserve"> J37             </t>
  </si>
  <si>
    <t xml:space="preserve"> J38             </t>
  </si>
  <si>
    <t xml:space="preserve"> J39             </t>
  </si>
  <si>
    <t xml:space="preserve"> J40             </t>
  </si>
  <si>
    <t xml:space="preserve"> J41             </t>
  </si>
  <si>
    <t xml:space="preserve"> J42             </t>
  </si>
  <si>
    <t xml:space="preserve"> J43             </t>
  </si>
  <si>
    <t xml:space="preserve"> J44             </t>
  </si>
  <si>
    <t xml:space="preserve"> J45             </t>
  </si>
  <si>
    <t xml:space="preserve"> J46             </t>
  </si>
  <si>
    <t xml:space="preserve"> J47             </t>
  </si>
  <si>
    <t xml:space="preserve"> J48             </t>
  </si>
  <si>
    <t xml:space="preserve"> J49             </t>
  </si>
  <si>
    <t xml:space="preserve"> J50             </t>
  </si>
  <si>
    <t xml:space="preserve"> J51             </t>
  </si>
  <si>
    <t xml:space="preserve"> J52             </t>
  </si>
  <si>
    <t xml:space="preserve"> J53             </t>
  </si>
  <si>
    <t xml:space="preserve"> J54             </t>
  </si>
  <si>
    <t xml:space="preserve"> J55             </t>
  </si>
  <si>
    <t xml:space="preserve"> J56             </t>
  </si>
  <si>
    <t xml:space="preserve"> J57             </t>
  </si>
  <si>
    <t xml:space="preserve"> J58             </t>
  </si>
  <si>
    <t xml:space="preserve"> J59             </t>
  </si>
  <si>
    <t xml:space="preserve"> J60             </t>
  </si>
  <si>
    <t xml:space="preserve"> J61             </t>
  </si>
  <si>
    <t xml:space="preserve"> J62             </t>
  </si>
  <si>
    <t xml:space="preserve"> J63             </t>
  </si>
  <si>
    <t xml:space="preserve"> J64             </t>
  </si>
  <si>
    <t xml:space="preserve"> J65             </t>
  </si>
  <si>
    <t xml:space="preserve"> J66             </t>
  </si>
  <si>
    <t xml:space="preserve"> J67             </t>
  </si>
  <si>
    <t xml:space="preserve"> J68             </t>
  </si>
  <si>
    <t xml:space="preserve"> J69             </t>
  </si>
  <si>
    <t xml:space="preserve"> J70             </t>
  </si>
  <si>
    <t xml:space="preserve"> J71             </t>
  </si>
  <si>
    <t xml:space="preserve"> J72             </t>
  </si>
  <si>
    <t xml:space="preserve"> J73             </t>
  </si>
  <si>
    <t xml:space="preserve"> J74             </t>
  </si>
  <si>
    <t xml:space="preserve"> J75             </t>
  </si>
  <si>
    <t xml:space="preserve"> J76             </t>
  </si>
  <si>
    <t xml:space="preserve"> J77             </t>
  </si>
  <si>
    <t xml:space="preserve"> J78             </t>
  </si>
  <si>
    <t xml:space="preserve"> J79             </t>
  </si>
  <si>
    <t xml:space="preserve"> J80             </t>
  </si>
  <si>
    <t xml:space="preserve"> J81             </t>
  </si>
  <si>
    <t xml:space="preserve"> J82             </t>
  </si>
  <si>
    <t xml:space="preserve"> J83             </t>
  </si>
  <si>
    <t xml:space="preserve"> WDS-IN          </t>
  </si>
  <si>
    <t xml:space="preserve"> BOOST_IN        </t>
  </si>
  <si>
    <t xml:space="preserve"> TCVTSR1         </t>
  </si>
  <si>
    <t>Elev</t>
  </si>
  <si>
    <t>MaxD</t>
  </si>
  <si>
    <t>Init</t>
  </si>
  <si>
    <t>SurD</t>
  </si>
  <si>
    <t>Aponded</t>
  </si>
  <si>
    <t xml:space="preserve">J45             </t>
  </si>
  <si>
    <t xml:space="preserve">J44             </t>
  </si>
  <si>
    <t xml:space="preserve">OPEN  </t>
  </si>
  <si>
    <t xml:space="preserve">J43             </t>
  </si>
  <si>
    <t xml:space="preserve">J42             </t>
  </si>
  <si>
    <t xml:space="preserve">J41             </t>
  </si>
  <si>
    <t xml:space="preserve">J40             </t>
  </si>
  <si>
    <t xml:space="preserve">J39             </t>
  </si>
  <si>
    <t xml:space="preserve">J38             </t>
  </si>
  <si>
    <t xml:space="preserve">J37             </t>
  </si>
  <si>
    <t xml:space="preserve">J36             </t>
  </si>
  <si>
    <t xml:space="preserve">J35             </t>
  </si>
  <si>
    <t xml:space="preserve">J34             </t>
  </si>
  <si>
    <t xml:space="preserve">J33             </t>
  </si>
  <si>
    <t xml:space="preserve">J32             </t>
  </si>
  <si>
    <t xml:space="preserve">J31             </t>
  </si>
  <si>
    <t xml:space="preserve">J30             </t>
  </si>
  <si>
    <t xml:space="preserve">J29             </t>
  </si>
  <si>
    <t xml:space="preserve">J28             </t>
  </si>
  <si>
    <t xml:space="preserve">J27             </t>
  </si>
  <si>
    <t xml:space="preserve">J26             </t>
  </si>
  <si>
    <t xml:space="preserve">J25             </t>
  </si>
  <si>
    <t xml:space="preserve">J24             </t>
  </si>
  <si>
    <t xml:space="preserve">J23             </t>
  </si>
  <si>
    <t xml:space="preserve">J22             </t>
  </si>
  <si>
    <t xml:space="preserve">J21             </t>
  </si>
  <si>
    <t xml:space="preserve">J20             </t>
  </si>
  <si>
    <t xml:space="preserve">J19             </t>
  </si>
  <si>
    <t xml:space="preserve">J18             </t>
  </si>
  <si>
    <t xml:space="preserve">J17             </t>
  </si>
  <si>
    <t xml:space="preserve">J16             </t>
  </si>
  <si>
    <t xml:space="preserve">J15             </t>
  </si>
  <si>
    <t xml:space="preserve">J14             </t>
  </si>
  <si>
    <t xml:space="preserve">J13             </t>
  </si>
  <si>
    <t xml:space="preserve">J12             </t>
  </si>
  <si>
    <t xml:space="preserve">J11             </t>
  </si>
  <si>
    <t xml:space="preserve">J10             </t>
  </si>
  <si>
    <t xml:space="preserve">J9              </t>
  </si>
  <si>
    <t xml:space="preserve">J8              </t>
  </si>
  <si>
    <t xml:space="preserve">J7              </t>
  </si>
  <si>
    <t xml:space="preserve">J6              </t>
  </si>
  <si>
    <t xml:space="preserve">J5              </t>
  </si>
  <si>
    <t xml:space="preserve">J4              </t>
  </si>
  <si>
    <t xml:space="preserve">J3              </t>
  </si>
  <si>
    <t xml:space="preserve">J2              </t>
  </si>
  <si>
    <t xml:space="preserve">J1              </t>
  </si>
  <si>
    <t xml:space="preserve">CV    </t>
  </si>
  <si>
    <t xml:space="preserve">J75             </t>
  </si>
  <si>
    <t xml:space="preserve">J49             </t>
  </si>
  <si>
    <t xml:space="preserve">J48             </t>
  </si>
  <si>
    <t xml:space="preserve">J47             </t>
  </si>
  <si>
    <t xml:space="preserve"> V2ISR1          </t>
  </si>
  <si>
    <t xml:space="preserve">ISR-1           </t>
  </si>
  <si>
    <t xml:space="preserve"> ISR2_PL         </t>
  </si>
  <si>
    <t xml:space="preserve">ISR-2           </t>
  </si>
  <si>
    <t xml:space="preserve">J46             </t>
  </si>
  <si>
    <t xml:space="preserve"> ISR_1_2         </t>
  </si>
  <si>
    <t xml:space="preserve"> TSR_OUT         </t>
  </si>
  <si>
    <t xml:space="preserve">TSR-2           </t>
  </si>
  <si>
    <t xml:space="preserve">BOOST_IN        </t>
  </si>
  <si>
    <t>;Connector to Existing System</t>
  </si>
  <si>
    <t xml:space="preserve"> TSR_INPUT       </t>
  </si>
  <si>
    <t xml:space="preserve">TSR-1           </t>
  </si>
  <si>
    <t xml:space="preserve"> TSR_TRAN        </t>
  </si>
  <si>
    <t xml:space="preserve">TCVTSR1         </t>
  </si>
  <si>
    <t xml:space="preserve"> FCV_TSR         </t>
  </si>
  <si>
    <t>P</t>
  </si>
  <si>
    <t>N1</t>
  </si>
  <si>
    <t>N2</t>
  </si>
  <si>
    <t>L</t>
  </si>
  <si>
    <t>DiAM</t>
  </si>
  <si>
    <t>ROUGH</t>
  </si>
  <si>
    <t>iNoFF</t>
  </si>
  <si>
    <t>OUTOFF</t>
  </si>
  <si>
    <t>INITq</t>
  </si>
  <si>
    <t>Maxq</t>
  </si>
  <si>
    <t xml:space="preserve">WDS-IN          </t>
  </si>
  <si>
    <t xml:space="preserve">R25W3           </t>
  </si>
  <si>
    <t xml:space="preserve">R25W5           </t>
  </si>
  <si>
    <t xml:space="preserve">R25W2           </t>
  </si>
  <si>
    <t xml:space="preserve">R24W2           </t>
  </si>
  <si>
    <t xml:space="preserve">R24W3           </t>
  </si>
  <si>
    <t xml:space="preserve">R24W1           </t>
  </si>
  <si>
    <t xml:space="preserve">R25W1           </t>
  </si>
  <si>
    <t xml:space="preserve">R30W1           </t>
  </si>
  <si>
    <t xml:space="preserve">R30W4           </t>
  </si>
  <si>
    <t xml:space="preserve">R30W5           </t>
  </si>
  <si>
    <t xml:space="preserve">R30W6           </t>
  </si>
  <si>
    <t xml:space="preserve">R30W3           </t>
  </si>
  <si>
    <t xml:space="preserve">R30W2           </t>
  </si>
  <si>
    <t xml:space="preserve">R25W4           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</si>
  <si>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</si>
  <si>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</si>
  <si>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</si>
  <si>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</si>
  <si>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</si>
  <si>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</si>
  <si>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</si>
  <si>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</si>
  <si>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</si>
  <si>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</si>
  <si>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</si>
  <si>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</si>
  <si>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</si>
  <si>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</si>
  <si>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</si>
  <si>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</si>
  <si>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</si>
  <si>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</si>
  <si>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</si>
  <si>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</si>
  <si>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</si>
  <si>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</si>
  <si>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</si>
  <si>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</si>
  <si>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</si>
  <si>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</si>
  <si>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</si>
  <si>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</si>
  <si>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</si>
  <si>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</si>
  <si>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</si>
  <si>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</si>
  <si>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</si>
  <si>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</si>
  <si>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</si>
  <si>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</si>
  <si>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</si>
  <si>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</si>
  <si>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</si>
  <si>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</si>
  <si>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</si>
  <si>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</si>
  <si>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</si>
  <si>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</si>
  <si>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</si>
  <si>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</si>
  <si>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</si>
  <si>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</si>
  <si>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</si>
  <si>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</si>
  <si>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</si>
  <si>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</si>
  <si>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</si>
  <si>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</si>
  <si>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</si>
  <si>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</si>
  <si>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</si>
  <si>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</si>
  <si>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</si>
  <si>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</si>
  <si>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</si>
  <si>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</si>
  <si>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</si>
  <si>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</si>
  <si>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</si>
  <si>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</si>
  <si>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</si>
  <si>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</si>
  <si>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</si>
  <si>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</si>
  <si>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</si>
  <si>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</si>
  <si>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</si>
  <si>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</si>
  <si>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</si>
  <si>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</si>
  <si>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</si>
  <si>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</si>
  <si>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_x000C_</t>
  </si>
  <si>
    <t>at</t>
  </si>
  <si>
    <t>(continued)</t>
  </si>
  <si>
    <t>ft</t>
  </si>
  <si>
    <t>J79</t>
  </si>
  <si>
    <t>J80</t>
  </si>
  <si>
    <t>J81</t>
  </si>
  <si>
    <t>J82</t>
  </si>
  <si>
    <t>J83</t>
  </si>
  <si>
    <t>WDS-IN</t>
  </si>
  <si>
    <t>BOOST_IN</t>
  </si>
  <si>
    <t>TCVTSR1</t>
  </si>
  <si>
    <t>R25W3</t>
  </si>
  <si>
    <t>Reservoir</t>
  </si>
  <si>
    <t>R25W5</t>
  </si>
  <si>
    <t>R25W2</t>
  </si>
  <si>
    <t>R24W2</t>
  </si>
  <si>
    <t>R24W3</t>
  </si>
  <si>
    <t>R24W1</t>
  </si>
  <si>
    <t>R25W1</t>
  </si>
  <si>
    <t>R30W1</t>
  </si>
  <si>
    <t>R30W4</t>
  </si>
  <si>
    <t>R30W5</t>
  </si>
  <si>
    <t>R30W6</t>
  </si>
  <si>
    <t>R30W3</t>
  </si>
  <si>
    <t>R30W2</t>
  </si>
  <si>
    <t>R25W4</t>
  </si>
  <si>
    <t>TSR-1</t>
  </si>
  <si>
    <t>Tank</t>
  </si>
  <si>
    <t>TSR-2</t>
  </si>
  <si>
    <t>ISR-1</t>
  </si>
  <si>
    <t>ISR-2</t>
  </si>
  <si>
    <t>head</t>
  </si>
  <si>
    <t>Network Table - Nodes at 55:00 Hrs</t>
  </si>
  <si>
    <t xml:space="preserve">                        </t>
  </si>
  <si>
    <t xml:space="preserve">Elevation       </t>
  </si>
  <si>
    <t xml:space="preserve">Head            </t>
  </si>
  <si>
    <t xml:space="preserve">Pressure        </t>
  </si>
  <si>
    <t xml:space="preserve"> Node ID                </t>
  </si>
  <si>
    <t xml:space="preserve">ft              </t>
  </si>
  <si>
    <t xml:space="preserve">psi             </t>
  </si>
  <si>
    <t xml:space="preserve">Resvr R25W1             </t>
  </si>
  <si>
    <t xml:space="preserve">Resvr R30W1             </t>
  </si>
  <si>
    <t xml:space="preserve">Resvr R30W4             </t>
  </si>
  <si>
    <t xml:space="preserve">Resvr R30W5             </t>
  </si>
  <si>
    <t xml:space="preserve">Resvr R30W6             </t>
  </si>
  <si>
    <t xml:space="preserve">Resvr R24W1             </t>
  </si>
  <si>
    <t xml:space="preserve">Resvr R25W3             </t>
  </si>
  <si>
    <t xml:space="preserve">Resvr R25W5             </t>
  </si>
  <si>
    <t xml:space="preserve">Resvr R25W2             </t>
  </si>
  <si>
    <t xml:space="preserve">Resvr R24W2             </t>
  </si>
  <si>
    <t xml:space="preserve">Resvr R24W3             </t>
  </si>
  <si>
    <t xml:space="preserve">Resvr R30W3             </t>
  </si>
  <si>
    <t xml:space="preserve">Resvr R30W2             </t>
  </si>
  <si>
    <t xml:space="preserve">Resvr R25W4             </t>
  </si>
  <si>
    <t xml:space="preserve">Junc J3                 </t>
  </si>
  <si>
    <t xml:space="preserve">Junc J0                 </t>
  </si>
  <si>
    <t xml:space="preserve">Junc J1                 </t>
  </si>
  <si>
    <t xml:space="preserve">Junc BOOST_IN           </t>
  </si>
  <si>
    <t xml:space="preserve">Tank TSR-2              </t>
  </si>
  <si>
    <t xml:space="preserve">Junc TCVTSR1            </t>
  </si>
  <si>
    <t xml:space="preserve">Tank TSR-1              </t>
  </si>
  <si>
    <t xml:space="preserve">Junc J2                 </t>
  </si>
  <si>
    <t xml:space="preserve">Junc J4                 </t>
  </si>
  <si>
    <t xml:space="preserve">Junc J5                 </t>
  </si>
  <si>
    <t xml:space="preserve">Junc J48                </t>
  </si>
  <si>
    <t xml:space="preserve">Junc J47                </t>
  </si>
  <si>
    <t xml:space="preserve">Tank ISR-2              </t>
  </si>
  <si>
    <t xml:space="preserve">Tank ISR-1              </t>
  </si>
  <si>
    <t xml:space="preserve">Junc J40                </t>
  </si>
  <si>
    <t xml:space="preserve">Junc J49                </t>
  </si>
  <si>
    <t xml:space="preserve">Junc J50                </t>
  </si>
  <si>
    <t xml:space="preserve">Junc J42                </t>
  </si>
  <si>
    <t xml:space="preserve">Junc J51                </t>
  </si>
  <si>
    <t xml:space="preserve">Junc J37                </t>
  </si>
  <si>
    <t xml:space="preserve">Junc J36                </t>
  </si>
  <si>
    <t xml:space="preserve">Junc J41                </t>
  </si>
  <si>
    <t xml:space="preserve">Junc J39                </t>
  </si>
  <si>
    <t xml:space="preserve">Junc J35                </t>
  </si>
  <si>
    <t xml:space="preserve">Junc J43                </t>
  </si>
  <si>
    <t xml:space="preserve">Junc J44                </t>
  </si>
  <si>
    <t xml:space="preserve">Junc J45                </t>
  </si>
  <si>
    <t xml:space="preserve">Junc J46                </t>
  </si>
  <si>
    <t xml:space="preserve">Junc J83                </t>
  </si>
  <si>
    <t xml:space="preserve">Junc J38                </t>
  </si>
  <si>
    <t xml:space="preserve">Junc J52                </t>
  </si>
  <si>
    <t xml:space="preserve">Junc J53                </t>
  </si>
  <si>
    <t xml:space="preserve">Junc J7                 </t>
  </si>
  <si>
    <t xml:space="preserve">Junc J6                 </t>
  </si>
  <si>
    <t xml:space="preserve">Junc J33                </t>
  </si>
  <si>
    <t xml:space="preserve">Junc J54                </t>
  </si>
  <si>
    <t xml:space="preserve">Junc J8                 </t>
  </si>
  <si>
    <t xml:space="preserve">Junc J34                </t>
  </si>
  <si>
    <t xml:space="preserve">Junc J55                </t>
  </si>
  <si>
    <t xml:space="preserve">Junc J56                </t>
  </si>
  <si>
    <t xml:space="preserve">Junc J57                </t>
  </si>
  <si>
    <t xml:space="preserve">Junc J69                </t>
  </si>
  <si>
    <t xml:space="preserve">Junc J10                </t>
  </si>
  <si>
    <t xml:space="preserve">Junc J62                </t>
  </si>
  <si>
    <t xml:space="preserve">Junc J9                 </t>
  </si>
  <si>
    <t xml:space="preserve">Junc J58                </t>
  </si>
  <si>
    <t xml:space="preserve">Junc J59                </t>
  </si>
  <si>
    <t xml:space="preserve">Junc J11                </t>
  </si>
  <si>
    <t xml:space="preserve">Junc J60                </t>
  </si>
  <si>
    <t xml:space="preserve">Junc J61                </t>
  </si>
  <si>
    <t xml:space="preserve">Junc J68                </t>
  </si>
  <si>
    <t xml:space="preserve">Junc J66                </t>
  </si>
  <si>
    <t xml:space="preserve">Junc J65                </t>
  </si>
  <si>
    <t xml:space="preserve">Junc J31                </t>
  </si>
  <si>
    <t xml:space="preserve">Junc J64                </t>
  </si>
  <si>
    <t xml:space="preserve">Junc J32                </t>
  </si>
  <si>
    <t xml:space="preserve">Junc J71                </t>
  </si>
  <si>
    <t xml:space="preserve">Junc J70                </t>
  </si>
  <si>
    <t xml:space="preserve">Junc J63                </t>
  </si>
  <si>
    <t xml:space="preserve">Junc WDS-IN             </t>
  </si>
  <si>
    <t xml:space="preserve">Junc J29                </t>
  </si>
  <si>
    <t xml:space="preserve">Junc J73                </t>
  </si>
  <si>
    <t xml:space="preserve">Junc J72                </t>
  </si>
  <si>
    <t xml:space="preserve">Junc J30                </t>
  </si>
  <si>
    <t xml:space="preserve">Junc J25                </t>
  </si>
  <si>
    <t xml:space="preserve">Junc J22                </t>
  </si>
  <si>
    <t xml:space="preserve">Junc J26                </t>
  </si>
  <si>
    <t xml:space="preserve">Junc J23                </t>
  </si>
  <si>
    <t xml:space="preserve">Junc J12                </t>
  </si>
  <si>
    <t xml:space="preserve">Junc J74                </t>
  </si>
  <si>
    <t xml:space="preserve">Junc J75                </t>
  </si>
  <si>
    <t xml:space="preserve">Junc J13                </t>
  </si>
  <si>
    <t xml:space="preserve">Junc J82                </t>
  </si>
  <si>
    <t xml:space="preserve">Junc J24                </t>
  </si>
  <si>
    <t xml:space="preserve">Junc J76                </t>
  </si>
  <si>
    <t xml:space="preserve">Junc J67                </t>
  </si>
  <si>
    <t xml:space="preserve">Junc J78                </t>
  </si>
  <si>
    <t xml:space="preserve">Junc J80                </t>
  </si>
  <si>
    <t xml:space="preserve">Junc J81                </t>
  </si>
  <si>
    <t xml:space="preserve">Junc J79                </t>
  </si>
  <si>
    <t xml:space="preserve">Junc J28                </t>
  </si>
  <si>
    <t xml:space="preserve">Junc J27                </t>
  </si>
  <si>
    <t xml:space="preserve">Junc J14                </t>
  </si>
  <si>
    <t xml:space="preserve">Junc J77                </t>
  </si>
  <si>
    <t xml:space="preserve">Junc J20                </t>
  </si>
  <si>
    <t xml:space="preserve">Junc J21                </t>
  </si>
  <si>
    <t xml:space="preserve">Junc J19                </t>
  </si>
  <si>
    <t xml:space="preserve">Junc J18                </t>
  </si>
  <si>
    <t xml:space="preserve">Junc J16                </t>
  </si>
  <si>
    <t xml:space="preserve">Junc J15                </t>
  </si>
  <si>
    <t xml:space="preserve">Junc J17                </t>
  </si>
  <si>
    <t>Network Table - Nodes at 40:00 Hrs</t>
  </si>
  <si>
    <t xml:space="preserve">J84                </t>
  </si>
  <si>
    <t xml:space="preserve">J85                </t>
  </si>
  <si>
    <t xml:space="preserve">J86                </t>
  </si>
  <si>
    <t xml:space="preserve">J87                </t>
  </si>
  <si>
    <t xml:space="preserve">J88                </t>
  </si>
  <si>
    <t xml:space="preserve">J89                </t>
  </si>
  <si>
    <t xml:space="preserve">J90                </t>
  </si>
  <si>
    <t xml:space="preserve">J91                </t>
  </si>
  <si>
    <t xml:space="preserve">J92                </t>
  </si>
  <si>
    <t xml:space="preserve">J93                </t>
  </si>
  <si>
    <t xml:space="preserve">J94                </t>
  </si>
  <si>
    <t xml:space="preserve">J95                </t>
  </si>
  <si>
    <t xml:space="preserve">J96                </t>
  </si>
  <si>
    <t xml:space="preserve">J97                </t>
  </si>
  <si>
    <t xml:space="preserve">J98                </t>
  </si>
  <si>
    <t xml:space="preserve">J99                </t>
  </si>
  <si>
    <t xml:space="preserve">J100               </t>
  </si>
  <si>
    <t xml:space="preserve">J101               </t>
  </si>
  <si>
    <t xml:space="preserve">J102               </t>
  </si>
  <si>
    <t xml:space="preserve">J103               </t>
  </si>
  <si>
    <t xml:space="preserve">J104               </t>
  </si>
  <si>
    <t xml:space="preserve">J105               </t>
  </si>
  <si>
    <t xml:space="preserve">J106               </t>
  </si>
  <si>
    <t xml:space="preserve">J107               </t>
  </si>
  <si>
    <t xml:space="preserve">J108               </t>
  </si>
  <si>
    <t xml:space="preserve">J109               </t>
  </si>
  <si>
    <t xml:space="preserve">J110               </t>
  </si>
  <si>
    <t xml:space="preserve">J111               </t>
  </si>
  <si>
    <t xml:space="preserve">J112               </t>
  </si>
  <si>
    <t xml:space="preserve">J113               </t>
  </si>
  <si>
    <t xml:space="preserve">J114               </t>
  </si>
  <si>
    <t xml:space="preserve">J115               </t>
  </si>
  <si>
    <t xml:space="preserve">J116               </t>
  </si>
  <si>
    <t xml:space="preserve">J117               </t>
  </si>
  <si>
    <t xml:space="preserve">J118               </t>
  </si>
  <si>
    <t xml:space="preserve">J119               </t>
  </si>
  <si>
    <t xml:space="preserve">J120               </t>
  </si>
  <si>
    <t xml:space="preserve">J121               </t>
  </si>
  <si>
    <t xml:space="preserve">J122               </t>
  </si>
  <si>
    <t xml:space="preserve">J123               </t>
  </si>
  <si>
    <t xml:space="preserve">J124               </t>
  </si>
  <si>
    <t xml:space="preserve">J125               </t>
  </si>
  <si>
    <t xml:space="preserve">J126               </t>
  </si>
  <si>
    <t xml:space="preserve">J127               </t>
  </si>
  <si>
    <t xml:space="preserve">J128               </t>
  </si>
  <si>
    <t xml:space="preserve">J129               </t>
  </si>
  <si>
    <t xml:space="preserve">J130               </t>
  </si>
  <si>
    <t xml:space="preserve">J131               </t>
  </si>
  <si>
    <t xml:space="preserve">J132               </t>
  </si>
  <si>
    <t xml:space="preserve">J133               </t>
  </si>
  <si>
    <t xml:space="preserve">J134               </t>
  </si>
  <si>
    <t xml:space="preserve">J135               </t>
  </si>
  <si>
    <t xml:space="preserve">J136               </t>
  </si>
  <si>
    <t xml:space="preserve">J137               </t>
  </si>
  <si>
    <t xml:space="preserve">J138               </t>
  </si>
  <si>
    <t xml:space="preserve">J139               </t>
  </si>
  <si>
    <t xml:space="preserve">J140               </t>
  </si>
  <si>
    <t xml:space="preserve">J141               </t>
  </si>
  <si>
    <t xml:space="preserve">J142               </t>
  </si>
  <si>
    <t xml:space="preserve">L2                 </t>
  </si>
  <si>
    <t xml:space="preserve">J11                </t>
  </si>
  <si>
    <t xml:space="preserve">OPEN      </t>
  </si>
  <si>
    <t xml:space="preserve">L4                 </t>
  </si>
  <si>
    <t xml:space="preserve">L6                 </t>
  </si>
  <si>
    <t xml:space="preserve">L8                 </t>
  </si>
  <si>
    <t xml:space="preserve">L10                </t>
  </si>
  <si>
    <t xml:space="preserve">L12                </t>
  </si>
  <si>
    <t xml:space="preserve">L14                </t>
  </si>
  <si>
    <t xml:space="preserve">L16                </t>
  </si>
  <si>
    <t xml:space="preserve">L17                </t>
  </si>
  <si>
    <t xml:space="preserve">J12                </t>
  </si>
  <si>
    <t xml:space="preserve">L18                </t>
  </si>
  <si>
    <t xml:space="preserve">L20                </t>
  </si>
  <si>
    <t xml:space="preserve">J14                </t>
  </si>
  <si>
    <t xml:space="preserve">L22                </t>
  </si>
  <si>
    <t xml:space="preserve">L24                </t>
  </si>
  <si>
    <t xml:space="preserve">L26                </t>
  </si>
  <si>
    <t xml:space="preserve">L28                </t>
  </si>
  <si>
    <t xml:space="preserve">L30                </t>
  </si>
  <si>
    <t xml:space="preserve">L32                </t>
  </si>
  <si>
    <t xml:space="preserve">L34                </t>
  </si>
  <si>
    <t xml:space="preserve">L35                </t>
  </si>
  <si>
    <t xml:space="preserve">J15                </t>
  </si>
  <si>
    <t xml:space="preserve">L36                </t>
  </si>
  <si>
    <t xml:space="preserve">L38                </t>
  </si>
  <si>
    <t xml:space="preserve">J17                </t>
  </si>
  <si>
    <t xml:space="preserve">L40                </t>
  </si>
  <si>
    <t xml:space="preserve">L42                </t>
  </si>
  <si>
    <t xml:space="preserve">L44                </t>
  </si>
  <si>
    <t xml:space="preserve">L46                </t>
  </si>
  <si>
    <t xml:space="preserve">L48                </t>
  </si>
  <si>
    <t xml:space="preserve">L50                </t>
  </si>
  <si>
    <t xml:space="preserve">L52                </t>
  </si>
  <si>
    <t xml:space="preserve">L54                </t>
  </si>
  <si>
    <t xml:space="preserve">L56                </t>
  </si>
  <si>
    <t xml:space="preserve">L58                </t>
  </si>
  <si>
    <t xml:space="preserve">L60                </t>
  </si>
  <si>
    <t xml:space="preserve">L62                </t>
  </si>
  <si>
    <t xml:space="preserve">L63                </t>
  </si>
  <si>
    <t xml:space="preserve">J18                </t>
  </si>
  <si>
    <t xml:space="preserve">L64                </t>
  </si>
  <si>
    <t xml:space="preserve">L66                </t>
  </si>
  <si>
    <t xml:space="preserve">J19                </t>
  </si>
  <si>
    <t xml:space="preserve">L67                </t>
  </si>
  <si>
    <t xml:space="preserve">J20                </t>
  </si>
  <si>
    <t xml:space="preserve">L68                </t>
  </si>
  <si>
    <t xml:space="preserve">L70                </t>
  </si>
  <si>
    <t xml:space="preserve">L71                </t>
  </si>
  <si>
    <t xml:space="preserve">J21                </t>
  </si>
  <si>
    <t xml:space="preserve">L72                </t>
  </si>
  <si>
    <t xml:space="preserve">L74                </t>
  </si>
  <si>
    <t xml:space="preserve">L75                </t>
  </si>
  <si>
    <t xml:space="preserve">J22                </t>
  </si>
  <si>
    <t xml:space="preserve">L76                </t>
  </si>
  <si>
    <t xml:space="preserve">L78                </t>
  </si>
  <si>
    <t xml:space="preserve">J24                </t>
  </si>
  <si>
    <t xml:space="preserve">L79                </t>
  </si>
  <si>
    <t xml:space="preserve">J25                </t>
  </si>
  <si>
    <t xml:space="preserve">L80                </t>
  </si>
  <si>
    <t xml:space="preserve">L81                </t>
  </si>
  <si>
    <t xml:space="preserve">J27                </t>
  </si>
  <si>
    <t xml:space="preserve">L82                </t>
  </si>
  <si>
    <t xml:space="preserve">J26                </t>
  </si>
  <si>
    <t xml:space="preserve">L83                </t>
  </si>
  <si>
    <t xml:space="preserve">J29                </t>
  </si>
  <si>
    <t xml:space="preserve">L84                </t>
  </si>
  <si>
    <t xml:space="preserve">J28                </t>
  </si>
  <si>
    <t xml:space="preserve">L86                </t>
  </si>
  <si>
    <t xml:space="preserve">J30                </t>
  </si>
  <si>
    <t xml:space="preserve">L87                </t>
  </si>
  <si>
    <t xml:space="preserve">J31                </t>
  </si>
  <si>
    <t xml:space="preserve">L88                </t>
  </si>
  <si>
    <t xml:space="preserve">L90                </t>
  </si>
  <si>
    <t xml:space="preserve">J32                </t>
  </si>
  <si>
    <t xml:space="preserve">L92                </t>
  </si>
  <si>
    <t xml:space="preserve">L93                </t>
  </si>
  <si>
    <t xml:space="preserve">J33                </t>
  </si>
  <si>
    <t xml:space="preserve">L94                </t>
  </si>
  <si>
    <t xml:space="preserve">L96                </t>
  </si>
  <si>
    <t xml:space="preserve">J34                </t>
  </si>
  <si>
    <t xml:space="preserve">L98                </t>
  </si>
  <si>
    <t xml:space="preserve">L99                </t>
  </si>
  <si>
    <t xml:space="preserve">J35                </t>
  </si>
  <si>
    <t xml:space="preserve">L100               </t>
  </si>
  <si>
    <t xml:space="preserve">L101               </t>
  </si>
  <si>
    <t xml:space="preserve">J37                </t>
  </si>
  <si>
    <t xml:space="preserve">L102               </t>
  </si>
  <si>
    <t xml:space="preserve">J36                </t>
  </si>
  <si>
    <t xml:space="preserve">L104               </t>
  </si>
  <si>
    <t xml:space="preserve">J40                </t>
  </si>
  <si>
    <t xml:space="preserve">L106               </t>
  </si>
  <si>
    <t xml:space="preserve">L108               </t>
  </si>
  <si>
    <t xml:space="preserve">L110               </t>
  </si>
  <si>
    <t xml:space="preserve">L112               </t>
  </si>
  <si>
    <t xml:space="preserve">L114               </t>
  </si>
  <si>
    <t xml:space="preserve">L116               </t>
  </si>
  <si>
    <t xml:space="preserve">L117               </t>
  </si>
  <si>
    <t xml:space="preserve">J41                </t>
  </si>
  <si>
    <t xml:space="preserve">L118               </t>
  </si>
  <si>
    <t xml:space="preserve">                </t>
  </si>
  <si>
    <t>;Elev = 2620.72</t>
  </si>
  <si>
    <t>;2778.16</t>
  </si>
  <si>
    <t>;2774.88</t>
  </si>
  <si>
    <t>;2781.44</t>
  </si>
  <si>
    <t>;2784.72</t>
  </si>
  <si>
    <t>;QGIS Z=2784.72</t>
  </si>
  <si>
    <t>;QGIS Z=2791.28</t>
  </si>
  <si>
    <t>;QGIS Z=2774.88</t>
  </si>
  <si>
    <t>;QGIS Z=2797.84</t>
  </si>
  <si>
    <t>;QGIS Z=2788</t>
  </si>
  <si>
    <t>;QGIS Z=2804.4</t>
  </si>
  <si>
    <t>;QGIS Z=2801.12</t>
  </si>
  <si>
    <t>;QGIS Z=2814.24</t>
  </si>
  <si>
    <t>;2810.96</t>
  </si>
  <si>
    <t>;2814.24</t>
  </si>
  <si>
    <t>;2824.08</t>
  </si>
  <si>
    <t xml:space="preserve"> J0              </t>
  </si>
  <si>
    <t xml:space="preserve"> JISR2           </t>
  </si>
  <si>
    <t xml:space="preserve"> J84             </t>
  </si>
  <si>
    <t xml:space="preserve"> J85             </t>
  </si>
  <si>
    <t xml:space="preserve"> J86             </t>
  </si>
  <si>
    <t xml:space="preserve"> J87             </t>
  </si>
  <si>
    <t xml:space="preserve"> J88             </t>
  </si>
  <si>
    <t xml:space="preserve"> J89             </t>
  </si>
  <si>
    <t xml:space="preserve"> J90             </t>
  </si>
  <si>
    <t xml:space="preserve"> J91             </t>
  </si>
  <si>
    <t xml:space="preserve"> J92             </t>
  </si>
  <si>
    <t xml:space="preserve"> J93             </t>
  </si>
  <si>
    <t xml:space="preserve"> J94             </t>
  </si>
  <si>
    <t xml:space="preserve"> J95             </t>
  </si>
  <si>
    <t xml:space="preserve"> J96             </t>
  </si>
  <si>
    <t xml:space="preserve"> J97             </t>
  </si>
  <si>
    <t xml:space="preserve"> J98             </t>
  </si>
  <si>
    <t xml:space="preserve"> J99             </t>
  </si>
  <si>
    <t xml:space="preserve"> J100            </t>
  </si>
  <si>
    <t xml:space="preserve"> J101            </t>
  </si>
  <si>
    <t xml:space="preserve"> J102            </t>
  </si>
  <si>
    <t xml:space="preserve"> J103            </t>
  </si>
  <si>
    <t xml:space="preserve"> J104            </t>
  </si>
  <si>
    <t xml:space="preserve"> J105            </t>
  </si>
  <si>
    <t xml:space="preserve"> J106            </t>
  </si>
  <si>
    <t xml:space="preserve"> J107            </t>
  </si>
  <si>
    <t xml:space="preserve"> J108            </t>
  </si>
  <si>
    <t xml:space="preserve"> J109            </t>
  </si>
  <si>
    <t xml:space="preserve"> J110            </t>
  </si>
  <si>
    <t xml:space="preserve"> J111            </t>
  </si>
  <si>
    <t xml:space="preserve"> J112            </t>
  </si>
  <si>
    <t xml:space="preserve"> J113            </t>
  </si>
  <si>
    <t xml:space="preserve"> J114            </t>
  </si>
  <si>
    <t xml:space="preserve"> J115            </t>
  </si>
  <si>
    <t xml:space="preserve"> J116            </t>
  </si>
  <si>
    <t xml:space="preserve"> J117            </t>
  </si>
  <si>
    <t xml:space="preserve"> J118            </t>
  </si>
  <si>
    <t xml:space="preserve"> J119            </t>
  </si>
  <si>
    <t xml:space="preserve"> J120            </t>
  </si>
  <si>
    <t xml:space="preserve"> J121            </t>
  </si>
  <si>
    <t xml:space="preserve"> J122            </t>
  </si>
  <si>
    <t xml:space="preserve"> J123            </t>
  </si>
  <si>
    <t xml:space="preserve"> J124            </t>
  </si>
  <si>
    <t xml:space="preserve"> J125            </t>
  </si>
  <si>
    <t xml:space="preserve"> J126            </t>
  </si>
  <si>
    <t xml:space="preserve"> J127            </t>
  </si>
  <si>
    <t xml:space="preserve"> J128            </t>
  </si>
  <si>
    <t xml:space="preserve"> J129            </t>
  </si>
  <si>
    <t xml:space="preserve"> J130            </t>
  </si>
  <si>
    <t xml:space="preserve"> J131            </t>
  </si>
  <si>
    <t xml:space="preserve"> J132            </t>
  </si>
  <si>
    <t xml:space="preserve"> J133            </t>
  </si>
  <si>
    <t xml:space="preserve"> J134            </t>
  </si>
  <si>
    <t xml:space="preserve"> J135            </t>
  </si>
  <si>
    <t xml:space="preserve"> J136            </t>
  </si>
  <si>
    <t xml:space="preserve"> J137            </t>
  </si>
  <si>
    <t xml:space="preserve"> J138            </t>
  </si>
  <si>
    <t xml:space="preserve"> J139            </t>
  </si>
  <si>
    <t xml:space="preserve"> J140            </t>
  </si>
  <si>
    <t xml:space="preserve"> J141            </t>
  </si>
  <si>
    <t xml:space="preserve"> J142            </t>
  </si>
  <si>
    <t xml:space="preserve">Junc JISR2              </t>
  </si>
  <si>
    <t xml:space="preserve">Junc J84                </t>
  </si>
  <si>
    <t xml:space="preserve">Junc J85                </t>
  </si>
  <si>
    <t xml:space="preserve">Junc J86                </t>
  </si>
  <si>
    <t xml:space="preserve">Junc J87                </t>
  </si>
  <si>
    <t xml:space="preserve">Junc J88                </t>
  </si>
  <si>
    <t xml:space="preserve">Junc J89                </t>
  </si>
  <si>
    <t xml:space="preserve">Junc J90                </t>
  </si>
  <si>
    <t xml:space="preserve">Junc J91                </t>
  </si>
  <si>
    <t xml:space="preserve">Junc J92                </t>
  </si>
  <si>
    <t xml:space="preserve">Junc J93                </t>
  </si>
  <si>
    <t xml:space="preserve">Junc J94                </t>
  </si>
  <si>
    <t xml:space="preserve">Junc J95                </t>
  </si>
  <si>
    <t xml:space="preserve">Junc J96                </t>
  </si>
  <si>
    <t xml:space="preserve">Junc J97                </t>
  </si>
  <si>
    <t xml:space="preserve">Junc J98                </t>
  </si>
  <si>
    <t xml:space="preserve">Junc J99                </t>
  </si>
  <si>
    <t xml:space="preserve">Junc J100               </t>
  </si>
  <si>
    <t xml:space="preserve">Junc J101               </t>
  </si>
  <si>
    <t xml:space="preserve">Junc J102               </t>
  </si>
  <si>
    <t xml:space="preserve">Junc J103               </t>
  </si>
  <si>
    <t xml:space="preserve">Junc J104               </t>
  </si>
  <si>
    <t xml:space="preserve">Junc J105               </t>
  </si>
  <si>
    <t xml:space="preserve">Junc J106               </t>
  </si>
  <si>
    <t xml:space="preserve">Junc J107               </t>
  </si>
  <si>
    <t xml:space="preserve">Junc J108               </t>
  </si>
  <si>
    <t xml:space="preserve">Junc J109               </t>
  </si>
  <si>
    <t xml:space="preserve">Junc J110               </t>
  </si>
  <si>
    <t xml:space="preserve">Junc J111               </t>
  </si>
  <si>
    <t xml:space="preserve">Junc J112               </t>
  </si>
  <si>
    <t xml:space="preserve">Junc J113               </t>
  </si>
  <si>
    <t xml:space="preserve">Junc J114               </t>
  </si>
  <si>
    <t xml:space="preserve">Junc J115               </t>
  </si>
  <si>
    <t xml:space="preserve">Junc J116               </t>
  </si>
  <si>
    <t xml:space="preserve">Junc J117               </t>
  </si>
  <si>
    <t xml:space="preserve">Junc J118               </t>
  </si>
  <si>
    <t xml:space="preserve">Junc J119               </t>
  </si>
  <si>
    <t xml:space="preserve">Junc J120               </t>
  </si>
  <si>
    <t xml:space="preserve">Junc J121               </t>
  </si>
  <si>
    <t xml:space="preserve">Junc J122               </t>
  </si>
  <si>
    <t xml:space="preserve">Junc J123               </t>
  </si>
  <si>
    <t xml:space="preserve">Junc J124               </t>
  </si>
  <si>
    <t xml:space="preserve">Junc J125               </t>
  </si>
  <si>
    <t xml:space="preserve">Junc J126               </t>
  </si>
  <si>
    <t xml:space="preserve">Junc J127               </t>
  </si>
  <si>
    <t xml:space="preserve">Junc J128               </t>
  </si>
  <si>
    <t xml:space="preserve">Junc J129               </t>
  </si>
  <si>
    <t xml:space="preserve">Junc J130               </t>
  </si>
  <si>
    <t xml:space="preserve">Junc J131               </t>
  </si>
  <si>
    <t xml:space="preserve">Junc J132               </t>
  </si>
  <si>
    <t xml:space="preserve">Junc J133               </t>
  </si>
  <si>
    <t xml:space="preserve">Junc J134               </t>
  </si>
  <si>
    <t xml:space="preserve">Junc J135               </t>
  </si>
  <si>
    <t xml:space="preserve">Junc J136               </t>
  </si>
  <si>
    <t xml:space="preserve">Junc J137               </t>
  </si>
  <si>
    <t xml:space="preserve">Junc J138               </t>
  </si>
  <si>
    <t xml:space="preserve">Junc J139               </t>
  </si>
  <si>
    <t xml:space="preserve">Junc J140               </t>
  </si>
  <si>
    <t xml:space="preserve">Junc J141               </t>
  </si>
  <si>
    <t xml:space="preserve">Junc J142               </t>
  </si>
  <si>
    <t xml:space="preserve">J0              </t>
  </si>
  <si>
    <t xml:space="preserve">JISR2           </t>
  </si>
  <si>
    <t xml:space="preserve">J84             </t>
  </si>
  <si>
    <t xml:space="preserve">J85             </t>
  </si>
  <si>
    <t xml:space="preserve">J86             </t>
  </si>
  <si>
    <t xml:space="preserve">J87             </t>
  </si>
  <si>
    <t xml:space="preserve">J88             </t>
  </si>
  <si>
    <t xml:space="preserve">J89             </t>
  </si>
  <si>
    <t xml:space="preserve">J90             </t>
  </si>
  <si>
    <t xml:space="preserve">J91             </t>
  </si>
  <si>
    <t xml:space="preserve">J92             </t>
  </si>
  <si>
    <t xml:space="preserve">J93             </t>
  </si>
  <si>
    <t xml:space="preserve">J94             </t>
  </si>
  <si>
    <t xml:space="preserve">J95             </t>
  </si>
  <si>
    <t xml:space="preserve">J96             </t>
  </si>
  <si>
    <t xml:space="preserve">J97             </t>
  </si>
  <si>
    <t xml:space="preserve">J98             </t>
  </si>
  <si>
    <t xml:space="preserve">J99             </t>
  </si>
  <si>
    <t xml:space="preserve">J100            </t>
  </si>
  <si>
    <t xml:space="preserve">J101            </t>
  </si>
  <si>
    <t xml:space="preserve">J102            </t>
  </si>
  <si>
    <t xml:space="preserve">J103            </t>
  </si>
  <si>
    <t xml:space="preserve">J104            </t>
  </si>
  <si>
    <t xml:space="preserve">J105            </t>
  </si>
  <si>
    <t xml:space="preserve">J106            </t>
  </si>
  <si>
    <t xml:space="preserve">J107            </t>
  </si>
  <si>
    <t xml:space="preserve">J108            </t>
  </si>
  <si>
    <t xml:space="preserve">J109            </t>
  </si>
  <si>
    <t xml:space="preserve">J110            </t>
  </si>
  <si>
    <t xml:space="preserve">J111            </t>
  </si>
  <si>
    <t xml:space="preserve">J112            </t>
  </si>
  <si>
    <t xml:space="preserve">J113            </t>
  </si>
  <si>
    <t xml:space="preserve">J114            </t>
  </si>
  <si>
    <t xml:space="preserve">J115            </t>
  </si>
  <si>
    <t xml:space="preserve">J116            </t>
  </si>
  <si>
    <t xml:space="preserve">J117            </t>
  </si>
  <si>
    <t xml:space="preserve">J118            </t>
  </si>
  <si>
    <t xml:space="preserve">J119            </t>
  </si>
  <si>
    <t xml:space="preserve">J120            </t>
  </si>
  <si>
    <t xml:space="preserve">J121            </t>
  </si>
  <si>
    <t xml:space="preserve">J122            </t>
  </si>
  <si>
    <t xml:space="preserve">J123            </t>
  </si>
  <si>
    <t xml:space="preserve">J124            </t>
  </si>
  <si>
    <t xml:space="preserve">J125            </t>
  </si>
  <si>
    <t xml:space="preserve">J126            </t>
  </si>
  <si>
    <t xml:space="preserve">J127            </t>
  </si>
  <si>
    <t xml:space="preserve">J128            </t>
  </si>
  <si>
    <t xml:space="preserve">J129            </t>
  </si>
  <si>
    <t xml:space="preserve">J130            </t>
  </si>
  <si>
    <t xml:space="preserve">J131            </t>
  </si>
  <si>
    <t xml:space="preserve">J132            </t>
  </si>
  <si>
    <t xml:space="preserve">J133            </t>
  </si>
  <si>
    <t xml:space="preserve">J134            </t>
  </si>
  <si>
    <t xml:space="preserve">J135            </t>
  </si>
  <si>
    <t xml:space="preserve">J136            </t>
  </si>
  <si>
    <t xml:space="preserve">J137            </t>
  </si>
  <si>
    <t xml:space="preserve">J138            </t>
  </si>
  <si>
    <t xml:space="preserve">J139            </t>
  </si>
  <si>
    <t xml:space="preserve">J140            </t>
  </si>
  <si>
    <t xml:space="preserve">J141            </t>
  </si>
  <si>
    <t xml:space="preserve">J142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</si>
</sst>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0"/>
  <sheetViews>
    <sheetView topLeftCell="A143" workbookViewId="0">
      <selection activeCell="B1" sqref="B1:B151"/>
    </sheetView>
  </sheetViews>
  <sheetFormatPr defaultRowHeight="15" x14ac:dyDescent="0.25"/>
  <cols>
    <col min="1" max="1" width="18.5703125" customWidth="1"/>
  </cols>
  <sheetData>
    <row r="1" spans="1:27" x14ac:dyDescent="0.25">
      <c r="A1" t="s">
        <v>428</v>
      </c>
      <c r="B1" t="s">
        <v>137</v>
      </c>
      <c r="C1">
        <v>2601</v>
      </c>
      <c r="D1">
        <v>2712.66</v>
      </c>
      <c r="H1">
        <v>2604.3200000000002</v>
      </c>
      <c r="I1">
        <v>0</v>
      </c>
      <c r="J1" t="s">
        <v>620</v>
      </c>
      <c r="K1" t="s">
        <v>1</v>
      </c>
      <c r="O1" t="s">
        <v>346</v>
      </c>
    </row>
    <row r="2" spans="1:27" x14ac:dyDescent="0.25">
      <c r="A2" t="s">
        <v>372</v>
      </c>
      <c r="B2" t="s">
        <v>138</v>
      </c>
      <c r="C2">
        <v>2601</v>
      </c>
      <c r="D2">
        <v>2613.62</v>
      </c>
      <c r="H2">
        <v>2604.3200000000002</v>
      </c>
      <c r="I2">
        <v>0</v>
      </c>
      <c r="J2" t="s">
        <v>620</v>
      </c>
      <c r="K2" t="s">
        <v>1</v>
      </c>
      <c r="M2" t="s">
        <v>236</v>
      </c>
      <c r="N2">
        <v>0</v>
      </c>
      <c r="O2">
        <v>2618.69</v>
      </c>
      <c r="P2">
        <v>6.23</v>
      </c>
      <c r="Q2">
        <v>51.13</v>
      </c>
      <c r="S2" t="s">
        <v>347</v>
      </c>
      <c r="W2" t="s">
        <v>315</v>
      </c>
      <c r="X2" s="2" t="s">
        <v>460</v>
      </c>
    </row>
    <row r="3" spans="1:27" x14ac:dyDescent="0.25">
      <c r="A3" t="s">
        <v>373</v>
      </c>
      <c r="B3" t="s">
        <v>343</v>
      </c>
      <c r="C3">
        <v>2601</v>
      </c>
      <c r="D3">
        <v>2613.62</v>
      </c>
      <c r="H3">
        <v>2610.7199999999998</v>
      </c>
      <c r="I3">
        <v>0</v>
      </c>
      <c r="J3" t="s">
        <v>620</v>
      </c>
      <c r="K3" t="s">
        <v>621</v>
      </c>
      <c r="M3" t="s">
        <v>237</v>
      </c>
      <c r="N3">
        <v>0</v>
      </c>
      <c r="O3">
        <v>2621.93</v>
      </c>
      <c r="P3">
        <v>7.63</v>
      </c>
      <c r="Q3">
        <v>50.91</v>
      </c>
      <c r="S3" t="s">
        <v>348</v>
      </c>
      <c r="T3" t="s">
        <v>349</v>
      </c>
      <c r="U3" t="s">
        <v>350</v>
      </c>
      <c r="V3" t="s">
        <v>351</v>
      </c>
      <c r="X3" t="s">
        <v>348</v>
      </c>
      <c r="Y3" t="s">
        <v>349</v>
      </c>
      <c r="Z3" t="s">
        <v>350</v>
      </c>
      <c r="AA3" t="s">
        <v>351</v>
      </c>
    </row>
    <row r="4" spans="1:27" x14ac:dyDescent="0.25">
      <c r="A4" t="s">
        <v>374</v>
      </c>
      <c r="B4" t="s">
        <v>139</v>
      </c>
      <c r="C4">
        <v>2601</v>
      </c>
      <c r="D4">
        <v>2613.63</v>
      </c>
      <c r="H4">
        <v>2607.6</v>
      </c>
      <c r="I4">
        <v>0</v>
      </c>
      <c r="J4" t="s">
        <v>620</v>
      </c>
      <c r="K4" t="s">
        <v>1</v>
      </c>
      <c r="M4" t="s">
        <v>238</v>
      </c>
      <c r="N4">
        <v>0</v>
      </c>
      <c r="O4">
        <v>2622.37</v>
      </c>
      <c r="P4">
        <v>5.05</v>
      </c>
      <c r="Q4">
        <v>50.88</v>
      </c>
      <c r="S4" t="s">
        <v>352</v>
      </c>
      <c r="T4" t="s">
        <v>353</v>
      </c>
      <c r="U4" t="s">
        <v>353</v>
      </c>
      <c r="V4" t="s">
        <v>354</v>
      </c>
      <c r="W4" t="s">
        <v>317</v>
      </c>
      <c r="X4" t="s">
        <v>352</v>
      </c>
      <c r="Y4" t="s">
        <v>353</v>
      </c>
      <c r="Z4" t="s">
        <v>353</v>
      </c>
      <c r="AA4" t="s">
        <v>354</v>
      </c>
    </row>
    <row r="5" spans="1:27" x14ac:dyDescent="0.25">
      <c r="A5" t="s">
        <v>375</v>
      </c>
      <c r="B5" t="s">
        <v>341</v>
      </c>
      <c r="C5">
        <v>2601</v>
      </c>
      <c r="D5">
        <v>2613.63</v>
      </c>
      <c r="H5">
        <v>2604.3200000000002</v>
      </c>
      <c r="I5">
        <v>0</v>
      </c>
      <c r="J5" t="s">
        <v>620</v>
      </c>
      <c r="K5" t="s">
        <v>1</v>
      </c>
      <c r="M5" t="s">
        <v>239</v>
      </c>
      <c r="N5">
        <v>0</v>
      </c>
      <c r="O5">
        <v>2630.32</v>
      </c>
      <c r="P5">
        <v>9.84</v>
      </c>
      <c r="Q5">
        <v>50.14</v>
      </c>
      <c r="S5" t="s">
        <v>355</v>
      </c>
      <c r="T5">
        <v>2330</v>
      </c>
      <c r="U5">
        <v>2330</v>
      </c>
      <c r="V5">
        <v>0</v>
      </c>
      <c r="X5" t="s">
        <v>441</v>
      </c>
      <c r="Y5">
        <v>2820.27</v>
      </c>
      <c r="Z5">
        <v>2820</v>
      </c>
      <c r="AA5">
        <v>-0.12</v>
      </c>
    </row>
    <row r="6" spans="1:27" x14ac:dyDescent="0.25">
      <c r="A6" t="s">
        <v>370</v>
      </c>
      <c r="B6" t="s">
        <v>637</v>
      </c>
      <c r="C6">
        <v>2604.3200000000002</v>
      </c>
      <c r="D6">
        <v>2613.63</v>
      </c>
      <c r="H6">
        <v>2587.92</v>
      </c>
      <c r="I6">
        <v>0</v>
      </c>
      <c r="J6" t="s">
        <v>620</v>
      </c>
      <c r="K6" t="s">
        <v>1</v>
      </c>
      <c r="M6" t="s">
        <v>240</v>
      </c>
      <c r="N6">
        <v>0</v>
      </c>
      <c r="O6">
        <v>2631.99</v>
      </c>
      <c r="P6">
        <v>11.99</v>
      </c>
      <c r="Q6">
        <v>50.16</v>
      </c>
      <c r="S6" t="s">
        <v>356</v>
      </c>
      <c r="T6">
        <v>2330</v>
      </c>
      <c r="U6">
        <v>2330</v>
      </c>
      <c r="V6">
        <v>0</v>
      </c>
      <c r="X6" t="s">
        <v>365</v>
      </c>
      <c r="Y6">
        <v>2330</v>
      </c>
      <c r="Z6">
        <v>2330</v>
      </c>
      <c r="AA6">
        <v>0</v>
      </c>
    </row>
    <row r="7" spans="1:27" x14ac:dyDescent="0.25">
      <c r="A7" t="s">
        <v>371</v>
      </c>
      <c r="B7" t="s">
        <v>54</v>
      </c>
      <c r="C7">
        <v>2604.3200000000002</v>
      </c>
      <c r="D7">
        <v>2787.77</v>
      </c>
      <c r="H7">
        <v>2591.1999999999998</v>
      </c>
      <c r="I7">
        <v>0</v>
      </c>
      <c r="J7" t="s">
        <v>620</v>
      </c>
      <c r="K7" t="s">
        <v>1</v>
      </c>
      <c r="M7" t="s">
        <v>241</v>
      </c>
      <c r="N7">
        <v>0</v>
      </c>
      <c r="O7">
        <v>2636.7</v>
      </c>
      <c r="P7">
        <v>21.14</v>
      </c>
      <c r="Q7">
        <v>50.41</v>
      </c>
      <c r="S7" t="s">
        <v>357</v>
      </c>
      <c r="T7">
        <v>2330</v>
      </c>
      <c r="U7">
        <v>2330</v>
      </c>
      <c r="V7">
        <v>0</v>
      </c>
      <c r="X7" t="s">
        <v>360</v>
      </c>
      <c r="Y7">
        <v>2330</v>
      </c>
      <c r="Z7">
        <v>2330</v>
      </c>
      <c r="AA7">
        <v>0</v>
      </c>
    </row>
    <row r="8" spans="1:27" x14ac:dyDescent="0.25">
      <c r="A8" t="s">
        <v>376</v>
      </c>
      <c r="B8" t="s">
        <v>55</v>
      </c>
      <c r="C8">
        <v>2604.3200000000002</v>
      </c>
      <c r="D8">
        <v>2787.94</v>
      </c>
      <c r="H8">
        <v>2587.92</v>
      </c>
      <c r="I8">
        <v>0</v>
      </c>
      <c r="J8" t="s">
        <v>620</v>
      </c>
      <c r="K8" t="s">
        <v>1</v>
      </c>
      <c r="M8" t="s">
        <v>242</v>
      </c>
      <c r="N8">
        <v>0</v>
      </c>
      <c r="O8">
        <v>2636.88</v>
      </c>
      <c r="P8">
        <v>19.79</v>
      </c>
      <c r="Q8">
        <v>50.42</v>
      </c>
      <c r="S8" t="s">
        <v>358</v>
      </c>
      <c r="T8">
        <v>2330</v>
      </c>
      <c r="U8">
        <v>2330</v>
      </c>
      <c r="V8">
        <v>0</v>
      </c>
      <c r="X8" t="s">
        <v>355</v>
      </c>
      <c r="Y8">
        <v>2330</v>
      </c>
      <c r="Z8">
        <v>2330</v>
      </c>
      <c r="AA8">
        <v>0</v>
      </c>
    </row>
    <row r="9" spans="1:27" x14ac:dyDescent="0.25">
      <c r="A9" t="s">
        <v>369</v>
      </c>
      <c r="B9" t="s">
        <v>56</v>
      </c>
      <c r="C9">
        <v>2610.7199999999998</v>
      </c>
      <c r="D9">
        <v>2787.96</v>
      </c>
      <c r="I9">
        <v>0</v>
      </c>
      <c r="J9" t="s">
        <v>620</v>
      </c>
      <c r="K9" t="s">
        <v>1</v>
      </c>
      <c r="M9" t="s">
        <v>243</v>
      </c>
      <c r="N9">
        <v>0</v>
      </c>
      <c r="O9">
        <v>2641.58</v>
      </c>
      <c r="P9">
        <v>23.25</v>
      </c>
      <c r="Q9">
        <v>49.88</v>
      </c>
      <c r="S9" t="s">
        <v>359</v>
      </c>
      <c r="T9">
        <v>2330</v>
      </c>
      <c r="U9">
        <v>2330</v>
      </c>
      <c r="V9">
        <v>0</v>
      </c>
      <c r="X9" t="s">
        <v>364</v>
      </c>
      <c r="Y9">
        <v>2330</v>
      </c>
      <c r="Z9">
        <v>2330</v>
      </c>
      <c r="AA9">
        <v>0</v>
      </c>
    </row>
    <row r="10" spans="1:27" x14ac:dyDescent="0.25">
      <c r="A10" t="s">
        <v>377</v>
      </c>
      <c r="B10" t="s">
        <v>57</v>
      </c>
      <c r="C10">
        <v>2607.6</v>
      </c>
      <c r="D10">
        <v>2788.29</v>
      </c>
      <c r="H10">
        <v>2581.36</v>
      </c>
      <c r="I10">
        <v>0</v>
      </c>
      <c r="J10" t="s">
        <v>620</v>
      </c>
      <c r="K10" t="s">
        <v>1</v>
      </c>
      <c r="M10" t="s">
        <v>244</v>
      </c>
      <c r="N10">
        <v>0</v>
      </c>
      <c r="O10">
        <v>2644.53</v>
      </c>
      <c r="P10">
        <v>28.79</v>
      </c>
      <c r="Q10">
        <v>49.73</v>
      </c>
      <c r="S10" t="s">
        <v>360</v>
      </c>
      <c r="T10">
        <v>2330</v>
      </c>
      <c r="U10">
        <v>2330</v>
      </c>
      <c r="V10">
        <v>0</v>
      </c>
      <c r="X10" t="s">
        <v>361</v>
      </c>
      <c r="Y10">
        <v>2330</v>
      </c>
      <c r="Z10">
        <v>2330</v>
      </c>
      <c r="AA10">
        <v>0</v>
      </c>
    </row>
    <row r="11" spans="1:27" x14ac:dyDescent="0.25">
      <c r="A11" t="s">
        <v>378</v>
      </c>
      <c r="B11" t="s">
        <v>58</v>
      </c>
      <c r="C11">
        <v>2604.3200000000002</v>
      </c>
      <c r="D11">
        <v>2788.36</v>
      </c>
      <c r="H11">
        <v>2574.8000000000002</v>
      </c>
      <c r="I11">
        <v>0</v>
      </c>
      <c r="J11" t="s">
        <v>620</v>
      </c>
      <c r="K11" t="s">
        <v>1</v>
      </c>
      <c r="M11" t="s">
        <v>245</v>
      </c>
      <c r="N11">
        <v>0</v>
      </c>
      <c r="O11">
        <v>2646.01</v>
      </c>
      <c r="P11">
        <v>28.01</v>
      </c>
      <c r="Q11">
        <v>49.65</v>
      </c>
      <c r="S11" t="s">
        <v>361</v>
      </c>
      <c r="T11">
        <v>2330</v>
      </c>
      <c r="U11">
        <v>2330</v>
      </c>
      <c r="V11">
        <v>0</v>
      </c>
      <c r="X11" t="s">
        <v>362</v>
      </c>
      <c r="Y11">
        <v>2330</v>
      </c>
      <c r="Z11">
        <v>2330</v>
      </c>
      <c r="AA11">
        <v>0</v>
      </c>
    </row>
    <row r="12" spans="1:27" x14ac:dyDescent="0.25">
      <c r="A12" t="s">
        <v>402</v>
      </c>
      <c r="B12" t="s">
        <v>59</v>
      </c>
      <c r="C12">
        <v>2587.92</v>
      </c>
      <c r="D12">
        <v>2788.55</v>
      </c>
      <c r="H12">
        <v>2578.08</v>
      </c>
      <c r="I12">
        <v>0</v>
      </c>
      <c r="J12" t="s">
        <v>620</v>
      </c>
      <c r="K12" t="s">
        <v>1</v>
      </c>
      <c r="M12" t="s">
        <v>246</v>
      </c>
      <c r="N12">
        <v>0</v>
      </c>
      <c r="O12">
        <v>2646.21</v>
      </c>
      <c r="P12">
        <v>30.94</v>
      </c>
      <c r="Q12">
        <v>49.64</v>
      </c>
      <c r="S12" t="s">
        <v>362</v>
      </c>
      <c r="T12">
        <v>2330</v>
      </c>
      <c r="U12">
        <v>2330</v>
      </c>
      <c r="V12">
        <v>0</v>
      </c>
      <c r="X12" t="s">
        <v>363</v>
      </c>
      <c r="Y12">
        <v>2330</v>
      </c>
      <c r="Z12">
        <v>2330</v>
      </c>
      <c r="AA12">
        <v>0</v>
      </c>
    </row>
    <row r="13" spans="1:27" x14ac:dyDescent="0.25">
      <c r="A13" t="s">
        <v>401</v>
      </c>
      <c r="B13" t="s">
        <v>60</v>
      </c>
      <c r="C13">
        <v>2591.1999999999998</v>
      </c>
      <c r="D13">
        <v>2788.56</v>
      </c>
      <c r="H13">
        <v>2578.08</v>
      </c>
      <c r="I13">
        <v>0</v>
      </c>
      <c r="J13" t="s">
        <v>620</v>
      </c>
      <c r="K13" t="s">
        <v>1</v>
      </c>
      <c r="M13" t="s">
        <v>247</v>
      </c>
      <c r="N13">
        <v>0</v>
      </c>
      <c r="O13">
        <v>2668.82</v>
      </c>
      <c r="P13">
        <v>39.32</v>
      </c>
      <c r="Q13">
        <v>48.46</v>
      </c>
      <c r="S13" t="s">
        <v>363</v>
      </c>
      <c r="T13">
        <v>2330</v>
      </c>
      <c r="U13">
        <v>2330</v>
      </c>
      <c r="V13">
        <v>0</v>
      </c>
      <c r="X13" t="s">
        <v>356</v>
      </c>
      <c r="Y13">
        <v>2330</v>
      </c>
      <c r="Z13">
        <v>2330</v>
      </c>
      <c r="AA13">
        <v>0</v>
      </c>
    </row>
    <row r="14" spans="1:27" x14ac:dyDescent="0.25">
      <c r="A14" t="s">
        <v>405</v>
      </c>
      <c r="B14" t="s">
        <v>61</v>
      </c>
      <c r="C14">
        <v>2587.92</v>
      </c>
      <c r="D14">
        <v>2788.76</v>
      </c>
      <c r="H14">
        <v>2568.2399999999998</v>
      </c>
      <c r="I14">
        <v>0</v>
      </c>
      <c r="J14" t="s">
        <v>620</v>
      </c>
      <c r="K14" t="s">
        <v>1</v>
      </c>
      <c r="M14" t="s">
        <v>248</v>
      </c>
      <c r="N14">
        <v>0</v>
      </c>
      <c r="O14">
        <v>2670.63</v>
      </c>
      <c r="P14">
        <v>40.1</v>
      </c>
      <c r="Q14">
        <v>48.36</v>
      </c>
      <c r="S14" t="s">
        <v>364</v>
      </c>
      <c r="T14">
        <v>2330</v>
      </c>
      <c r="U14">
        <v>2330</v>
      </c>
      <c r="V14">
        <v>0</v>
      </c>
      <c r="X14" t="s">
        <v>366</v>
      </c>
      <c r="Y14">
        <v>2330</v>
      </c>
      <c r="Z14">
        <v>2330</v>
      </c>
      <c r="AA14">
        <v>0</v>
      </c>
    </row>
    <row r="15" spans="1:27" x14ac:dyDescent="0.25">
      <c r="A15" t="s">
        <v>413</v>
      </c>
      <c r="B15" t="s">
        <v>62</v>
      </c>
      <c r="C15">
        <v>2578.08</v>
      </c>
      <c r="D15">
        <v>2788.88</v>
      </c>
      <c r="H15">
        <v>2568.2399999999998</v>
      </c>
      <c r="I15">
        <v>0</v>
      </c>
      <c r="J15" t="s">
        <v>620</v>
      </c>
      <c r="K15" t="s">
        <v>1</v>
      </c>
      <c r="M15" t="s">
        <v>249</v>
      </c>
      <c r="N15">
        <v>0</v>
      </c>
      <c r="O15">
        <v>2672.48</v>
      </c>
      <c r="P15">
        <v>45.17</v>
      </c>
      <c r="Q15">
        <v>48.26</v>
      </c>
      <c r="S15" t="s">
        <v>365</v>
      </c>
      <c r="T15">
        <v>2330</v>
      </c>
      <c r="U15">
        <v>2330</v>
      </c>
      <c r="V15">
        <v>0</v>
      </c>
      <c r="X15" t="s">
        <v>367</v>
      </c>
      <c r="Y15">
        <v>2330</v>
      </c>
      <c r="Z15">
        <v>2330</v>
      </c>
      <c r="AA15">
        <v>0</v>
      </c>
    </row>
    <row r="16" spans="1:27" x14ac:dyDescent="0.25">
      <c r="A16" t="s">
        <v>411</v>
      </c>
      <c r="B16" t="s">
        <v>63</v>
      </c>
      <c r="C16">
        <v>2581.36</v>
      </c>
      <c r="D16">
        <v>2788.94</v>
      </c>
      <c r="H16">
        <v>2574.8000000000002</v>
      </c>
      <c r="I16">
        <v>0</v>
      </c>
      <c r="J16" t="s">
        <v>620</v>
      </c>
      <c r="K16" t="s">
        <v>1</v>
      </c>
      <c r="M16" t="s">
        <v>250</v>
      </c>
      <c r="N16">
        <v>0</v>
      </c>
      <c r="O16">
        <v>2692.5</v>
      </c>
      <c r="P16">
        <v>53.84</v>
      </c>
      <c r="Q16">
        <v>46.85</v>
      </c>
      <c r="S16" t="s">
        <v>366</v>
      </c>
      <c r="T16">
        <v>2330</v>
      </c>
      <c r="U16">
        <v>2330</v>
      </c>
      <c r="V16">
        <v>0</v>
      </c>
      <c r="X16" t="s">
        <v>368</v>
      </c>
      <c r="Y16">
        <v>2330</v>
      </c>
      <c r="Z16">
        <v>2330</v>
      </c>
      <c r="AA16">
        <v>0</v>
      </c>
    </row>
    <row r="17" spans="1:27" x14ac:dyDescent="0.25">
      <c r="A17" t="s">
        <v>416</v>
      </c>
      <c r="B17" t="s">
        <v>64</v>
      </c>
      <c r="C17">
        <v>2574.8000000000002</v>
      </c>
      <c r="D17">
        <v>2788.95</v>
      </c>
      <c r="H17">
        <v>2561.6799999999998</v>
      </c>
      <c r="I17">
        <v>0</v>
      </c>
      <c r="J17" t="s">
        <v>620</v>
      </c>
      <c r="K17" t="s">
        <v>1</v>
      </c>
      <c r="M17" t="s">
        <v>251</v>
      </c>
      <c r="N17">
        <v>0</v>
      </c>
      <c r="O17">
        <v>2694.27</v>
      </c>
      <c r="P17">
        <v>51.77</v>
      </c>
      <c r="Q17">
        <v>46.94</v>
      </c>
      <c r="S17" t="s">
        <v>367</v>
      </c>
      <c r="T17">
        <v>2330</v>
      </c>
      <c r="U17">
        <v>2330</v>
      </c>
      <c r="V17">
        <v>0</v>
      </c>
      <c r="X17" t="s">
        <v>357</v>
      </c>
      <c r="Y17">
        <v>2330</v>
      </c>
      <c r="Z17">
        <v>2330</v>
      </c>
      <c r="AA17">
        <v>0</v>
      </c>
    </row>
    <row r="18" spans="1:27" x14ac:dyDescent="0.25">
      <c r="A18" t="s">
        <v>699</v>
      </c>
      <c r="B18" t="s">
        <v>639</v>
      </c>
      <c r="C18">
        <v>2558.4</v>
      </c>
      <c r="D18">
        <v>2789.05</v>
      </c>
      <c r="H18">
        <v>2610.88</v>
      </c>
      <c r="I18">
        <v>0</v>
      </c>
      <c r="J18" t="s">
        <v>620</v>
      </c>
      <c r="K18" t="s">
        <v>1</v>
      </c>
      <c r="M18" t="s">
        <v>252</v>
      </c>
      <c r="N18">
        <v>0</v>
      </c>
      <c r="O18">
        <v>2696.5</v>
      </c>
      <c r="P18">
        <v>58.42</v>
      </c>
      <c r="Q18">
        <v>47.06</v>
      </c>
      <c r="S18" t="s">
        <v>368</v>
      </c>
      <c r="T18">
        <v>2330</v>
      </c>
      <c r="U18">
        <v>2330</v>
      </c>
      <c r="V18">
        <v>0</v>
      </c>
      <c r="X18" t="s">
        <v>358</v>
      </c>
      <c r="Y18">
        <v>2330</v>
      </c>
      <c r="Z18">
        <v>2330</v>
      </c>
      <c r="AA18">
        <v>0</v>
      </c>
    </row>
    <row r="19" spans="1:27" x14ac:dyDescent="0.25">
      <c r="A19" t="s">
        <v>700</v>
      </c>
      <c r="B19" t="s">
        <v>640</v>
      </c>
      <c r="C19">
        <v>2571.52</v>
      </c>
      <c r="D19">
        <v>2789.16</v>
      </c>
      <c r="H19">
        <v>2614.16</v>
      </c>
      <c r="I19">
        <v>0</v>
      </c>
      <c r="J19" t="s">
        <v>620</v>
      </c>
      <c r="K19" t="s">
        <v>1</v>
      </c>
      <c r="M19" t="s">
        <v>253</v>
      </c>
      <c r="N19">
        <v>0</v>
      </c>
      <c r="O19">
        <v>2725.05</v>
      </c>
      <c r="P19">
        <v>49.47</v>
      </c>
      <c r="Q19">
        <v>44.8</v>
      </c>
      <c r="S19" t="s">
        <v>369</v>
      </c>
      <c r="T19">
        <v>2610.7199999999998</v>
      </c>
      <c r="U19">
        <v>2617.9699999999998</v>
      </c>
      <c r="V19">
        <v>3.14</v>
      </c>
      <c r="X19" t="s">
        <v>359</v>
      </c>
      <c r="Y19">
        <v>2330</v>
      </c>
      <c r="Z19">
        <v>2330</v>
      </c>
      <c r="AA19">
        <v>0</v>
      </c>
    </row>
    <row r="20" spans="1:27" x14ac:dyDescent="0.25">
      <c r="A20" t="s">
        <v>701</v>
      </c>
      <c r="B20" t="s">
        <v>641</v>
      </c>
      <c r="C20">
        <v>2568.2399999999998</v>
      </c>
      <c r="D20">
        <v>2789.23</v>
      </c>
      <c r="H20">
        <v>2624</v>
      </c>
      <c r="I20">
        <v>0</v>
      </c>
      <c r="J20" t="s">
        <v>620</v>
      </c>
      <c r="K20" t="s">
        <v>1</v>
      </c>
      <c r="M20" t="s">
        <v>254</v>
      </c>
      <c r="N20">
        <v>0</v>
      </c>
      <c r="O20">
        <v>2725.39</v>
      </c>
      <c r="P20">
        <v>48.2</v>
      </c>
      <c r="Q20">
        <v>44.77</v>
      </c>
      <c r="S20" t="s">
        <v>370</v>
      </c>
      <c r="T20">
        <v>2604.3200000000002</v>
      </c>
      <c r="U20">
        <v>2611.64</v>
      </c>
      <c r="V20">
        <v>3.17</v>
      </c>
      <c r="X20" t="s">
        <v>448</v>
      </c>
      <c r="Y20">
        <v>2813.46</v>
      </c>
      <c r="Z20">
        <v>2820</v>
      </c>
      <c r="AA20">
        <v>2.83</v>
      </c>
    </row>
    <row r="21" spans="1:27" x14ac:dyDescent="0.25">
      <c r="A21" t="s">
        <v>702</v>
      </c>
      <c r="B21" t="s">
        <v>642</v>
      </c>
      <c r="C21">
        <v>2604.3200000000002</v>
      </c>
      <c r="D21">
        <v>2789.31</v>
      </c>
      <c r="H21">
        <v>2630.56</v>
      </c>
      <c r="I21">
        <v>0</v>
      </c>
      <c r="J21" t="s">
        <v>620</v>
      </c>
      <c r="K21" t="s">
        <v>1</v>
      </c>
      <c r="M21" t="s">
        <v>255</v>
      </c>
      <c r="N21">
        <v>0</v>
      </c>
      <c r="O21">
        <v>2731.1</v>
      </c>
      <c r="P21">
        <v>46.41</v>
      </c>
      <c r="Q21">
        <v>44.13</v>
      </c>
      <c r="S21" t="s">
        <v>371</v>
      </c>
      <c r="T21">
        <v>2604.3200000000002</v>
      </c>
      <c r="U21">
        <v>2614.1999999999998</v>
      </c>
      <c r="V21">
        <v>4.28</v>
      </c>
      <c r="X21" t="s">
        <v>447</v>
      </c>
      <c r="Y21">
        <v>2813.46</v>
      </c>
      <c r="Z21">
        <v>2820</v>
      </c>
      <c r="AA21">
        <v>2.83</v>
      </c>
    </row>
    <row r="22" spans="1:27" x14ac:dyDescent="0.25">
      <c r="A22" t="s">
        <v>703</v>
      </c>
      <c r="B22" t="s">
        <v>643</v>
      </c>
      <c r="C22">
        <v>2574.8000000000002</v>
      </c>
      <c r="D22">
        <v>2789.38</v>
      </c>
      <c r="H22">
        <v>2656.8</v>
      </c>
      <c r="I22">
        <v>0</v>
      </c>
      <c r="J22" t="s">
        <v>620</v>
      </c>
      <c r="K22" t="s">
        <v>1</v>
      </c>
      <c r="M22" t="s">
        <v>256</v>
      </c>
      <c r="N22">
        <v>0</v>
      </c>
      <c r="O22">
        <v>2738.02</v>
      </c>
      <c r="P22">
        <v>46.56</v>
      </c>
      <c r="Q22">
        <v>43.12</v>
      </c>
      <c r="S22" t="s">
        <v>372</v>
      </c>
      <c r="T22">
        <v>2601</v>
      </c>
      <c r="U22">
        <v>2611.35</v>
      </c>
      <c r="V22">
        <v>4.4800000000000004</v>
      </c>
      <c r="X22" t="s">
        <v>446</v>
      </c>
      <c r="Y22">
        <v>2813.46</v>
      </c>
      <c r="Z22">
        <v>2820</v>
      </c>
      <c r="AA22">
        <v>2.83</v>
      </c>
    </row>
    <row r="23" spans="1:27" x14ac:dyDescent="0.25">
      <c r="A23" t="s">
        <v>704</v>
      </c>
      <c r="B23" t="s">
        <v>644</v>
      </c>
      <c r="C23">
        <v>2578.08</v>
      </c>
      <c r="D23">
        <v>2789.47</v>
      </c>
      <c r="H23">
        <v>2656.8</v>
      </c>
      <c r="I23">
        <v>0</v>
      </c>
      <c r="J23" t="s">
        <v>620</v>
      </c>
      <c r="K23" t="s">
        <v>1</v>
      </c>
      <c r="M23" t="s">
        <v>257</v>
      </c>
      <c r="N23">
        <v>0</v>
      </c>
      <c r="O23">
        <v>2744.85</v>
      </c>
      <c r="P23">
        <v>38.15</v>
      </c>
      <c r="Q23">
        <v>41.91</v>
      </c>
      <c r="S23" t="s">
        <v>373</v>
      </c>
      <c r="T23">
        <v>2601</v>
      </c>
      <c r="U23">
        <v>2611.4699999999998</v>
      </c>
      <c r="V23">
        <v>4.54</v>
      </c>
      <c r="X23" t="s">
        <v>445</v>
      </c>
      <c r="Y23">
        <v>2813.46</v>
      </c>
      <c r="Z23">
        <v>2820</v>
      </c>
      <c r="AA23">
        <v>2.83</v>
      </c>
    </row>
    <row r="24" spans="1:27" x14ac:dyDescent="0.25">
      <c r="A24" t="s">
        <v>705</v>
      </c>
      <c r="B24" t="s">
        <v>645</v>
      </c>
      <c r="C24">
        <v>2564.96</v>
      </c>
      <c r="D24">
        <v>2789.56</v>
      </c>
      <c r="H24">
        <v>2653.52</v>
      </c>
      <c r="I24">
        <v>0</v>
      </c>
      <c r="J24" t="s">
        <v>620</v>
      </c>
      <c r="K24" t="s">
        <v>1</v>
      </c>
      <c r="M24" t="s">
        <v>258</v>
      </c>
      <c r="N24">
        <v>0</v>
      </c>
      <c r="O24">
        <v>2745.22</v>
      </c>
      <c r="P24">
        <v>38.31</v>
      </c>
      <c r="Q24">
        <v>41.84</v>
      </c>
      <c r="S24" t="s">
        <v>374</v>
      </c>
      <c r="T24">
        <v>2601</v>
      </c>
      <c r="U24">
        <v>2611.58</v>
      </c>
      <c r="V24">
        <v>4.58</v>
      </c>
      <c r="X24" t="s">
        <v>443</v>
      </c>
      <c r="Y24">
        <v>2812.2</v>
      </c>
      <c r="Z24">
        <v>2820</v>
      </c>
      <c r="AA24">
        <v>3.38</v>
      </c>
    </row>
    <row r="25" spans="1:27" x14ac:dyDescent="0.25">
      <c r="A25" t="s">
        <v>706</v>
      </c>
      <c r="B25" t="s">
        <v>646</v>
      </c>
      <c r="C25">
        <v>2574.8000000000002</v>
      </c>
      <c r="D25">
        <v>2789.64</v>
      </c>
      <c r="H25">
        <v>2666.64</v>
      </c>
      <c r="I25">
        <v>0</v>
      </c>
      <c r="J25" t="s">
        <v>620</v>
      </c>
      <c r="K25" t="s">
        <v>1</v>
      </c>
      <c r="M25" t="s">
        <v>259</v>
      </c>
      <c r="N25">
        <v>0</v>
      </c>
      <c r="O25">
        <v>2745.5</v>
      </c>
      <c r="P25">
        <v>39.85</v>
      </c>
      <c r="Q25">
        <v>41.79</v>
      </c>
      <c r="S25" t="s">
        <v>375</v>
      </c>
      <c r="T25">
        <v>2601</v>
      </c>
      <c r="U25">
        <v>2611.6</v>
      </c>
      <c r="V25">
        <v>4.59</v>
      </c>
      <c r="X25" t="s">
        <v>430</v>
      </c>
      <c r="Y25">
        <v>2810.37</v>
      </c>
      <c r="Z25">
        <v>2820</v>
      </c>
      <c r="AA25">
        <v>4.17</v>
      </c>
    </row>
    <row r="26" spans="1:27" x14ac:dyDescent="0.25">
      <c r="A26" t="s">
        <v>707</v>
      </c>
      <c r="B26" t="s">
        <v>647</v>
      </c>
      <c r="C26">
        <v>2558.4</v>
      </c>
      <c r="D26">
        <v>2789.74</v>
      </c>
      <c r="H26">
        <v>2666.64</v>
      </c>
      <c r="I26">
        <v>0</v>
      </c>
      <c r="J26" t="s">
        <v>620</v>
      </c>
      <c r="K26" t="s">
        <v>1</v>
      </c>
      <c r="M26" t="s">
        <v>260</v>
      </c>
      <c r="N26">
        <v>0</v>
      </c>
      <c r="O26">
        <v>2754.42</v>
      </c>
      <c r="P26">
        <v>38.03</v>
      </c>
      <c r="Q26">
        <v>39.96</v>
      </c>
      <c r="S26" t="s">
        <v>376</v>
      </c>
      <c r="T26">
        <v>2604.3200000000002</v>
      </c>
      <c r="U26">
        <v>2617.52</v>
      </c>
      <c r="V26">
        <v>5.72</v>
      </c>
      <c r="X26" t="s">
        <v>438</v>
      </c>
      <c r="Y26">
        <v>2806.95</v>
      </c>
      <c r="Z26">
        <v>2820</v>
      </c>
      <c r="AA26">
        <v>5.65</v>
      </c>
    </row>
    <row r="27" spans="1:27" x14ac:dyDescent="0.25">
      <c r="A27" t="s">
        <v>437</v>
      </c>
      <c r="B27" t="s">
        <v>65</v>
      </c>
      <c r="C27">
        <v>2578.08</v>
      </c>
      <c r="D27">
        <v>2789.9</v>
      </c>
      <c r="H27">
        <v>2656.8</v>
      </c>
      <c r="I27">
        <v>0</v>
      </c>
      <c r="J27" t="s">
        <v>620</v>
      </c>
      <c r="K27" t="s">
        <v>1</v>
      </c>
      <c r="M27" t="s">
        <v>261</v>
      </c>
      <c r="N27">
        <v>0</v>
      </c>
      <c r="O27">
        <v>2754.73</v>
      </c>
      <c r="P27">
        <v>38.17</v>
      </c>
      <c r="Q27">
        <v>39.89</v>
      </c>
      <c r="S27" t="s">
        <v>377</v>
      </c>
      <c r="T27">
        <v>2607.6</v>
      </c>
      <c r="U27">
        <v>2626.13</v>
      </c>
      <c r="V27">
        <v>8.0299999999999994</v>
      </c>
      <c r="X27" t="s">
        <v>439</v>
      </c>
      <c r="Y27">
        <v>2806.95</v>
      </c>
      <c r="Z27">
        <v>2820</v>
      </c>
      <c r="AA27">
        <v>5.65</v>
      </c>
    </row>
    <row r="28" spans="1:27" x14ac:dyDescent="0.25">
      <c r="A28" t="s">
        <v>440</v>
      </c>
      <c r="B28" t="s">
        <v>66</v>
      </c>
      <c r="C28">
        <v>2578.08</v>
      </c>
      <c r="D28">
        <v>2789.98</v>
      </c>
      <c r="H28">
        <v>2660.08</v>
      </c>
      <c r="I28">
        <v>0</v>
      </c>
      <c r="J28" t="s">
        <v>620</v>
      </c>
      <c r="K28" t="s">
        <v>1</v>
      </c>
      <c r="M28" t="s">
        <v>262</v>
      </c>
      <c r="N28">
        <v>0</v>
      </c>
      <c r="O28">
        <v>2758.64</v>
      </c>
      <c r="P28">
        <v>44.13</v>
      </c>
      <c r="Q28">
        <v>39.020000000000003</v>
      </c>
      <c r="S28" t="s">
        <v>378</v>
      </c>
      <c r="T28">
        <v>2604.3200000000002</v>
      </c>
      <c r="U28">
        <v>2627.85</v>
      </c>
      <c r="V28">
        <v>10.199999999999999</v>
      </c>
      <c r="X28" t="s">
        <v>431</v>
      </c>
      <c r="Y28">
        <v>2806.2</v>
      </c>
      <c r="Z28">
        <v>2820</v>
      </c>
      <c r="AA28">
        <v>5.98</v>
      </c>
    </row>
    <row r="29" spans="1:27" x14ac:dyDescent="0.25">
      <c r="A29" t="s">
        <v>451</v>
      </c>
      <c r="B29" t="s">
        <v>67</v>
      </c>
      <c r="C29">
        <v>2568.2399999999998</v>
      </c>
      <c r="D29">
        <v>2790.06</v>
      </c>
      <c r="H29">
        <v>2683.04</v>
      </c>
      <c r="I29">
        <v>0</v>
      </c>
      <c r="J29" t="s">
        <v>620</v>
      </c>
      <c r="K29" t="s">
        <v>1</v>
      </c>
      <c r="M29" t="s">
        <v>263</v>
      </c>
      <c r="N29">
        <v>0</v>
      </c>
      <c r="O29">
        <v>2759.06</v>
      </c>
      <c r="P29">
        <v>42.89</v>
      </c>
      <c r="Q29">
        <v>38.93</v>
      </c>
      <c r="S29" t="s">
        <v>379</v>
      </c>
      <c r="T29">
        <v>2792.16</v>
      </c>
      <c r="U29">
        <v>2818.53</v>
      </c>
      <c r="V29">
        <v>11.42</v>
      </c>
      <c r="X29" t="s">
        <v>419</v>
      </c>
      <c r="Y29">
        <v>2806</v>
      </c>
      <c r="Z29">
        <v>2820</v>
      </c>
      <c r="AA29">
        <v>6.07</v>
      </c>
    </row>
    <row r="30" spans="1:27" x14ac:dyDescent="0.25">
      <c r="A30" t="s">
        <v>708</v>
      </c>
      <c r="B30" t="s">
        <v>648</v>
      </c>
      <c r="C30">
        <v>2568.2399999999998</v>
      </c>
      <c r="D30">
        <v>2790.5</v>
      </c>
      <c r="H30">
        <v>2679.76</v>
      </c>
      <c r="I30">
        <v>0</v>
      </c>
      <c r="J30" t="s">
        <v>620</v>
      </c>
      <c r="K30" t="s">
        <v>1</v>
      </c>
      <c r="M30" t="s">
        <v>264</v>
      </c>
      <c r="N30">
        <v>0</v>
      </c>
      <c r="O30">
        <v>2764.46</v>
      </c>
      <c r="P30">
        <v>35.28</v>
      </c>
      <c r="Q30">
        <v>37.68</v>
      </c>
      <c r="S30" t="s">
        <v>380</v>
      </c>
      <c r="T30">
        <v>2791.44</v>
      </c>
      <c r="U30">
        <v>2818.09</v>
      </c>
      <c r="V30">
        <v>11.55</v>
      </c>
      <c r="X30" t="s">
        <v>420</v>
      </c>
      <c r="Y30">
        <v>2805.21</v>
      </c>
      <c r="Z30">
        <v>2820</v>
      </c>
      <c r="AA30">
        <v>6.41</v>
      </c>
    </row>
    <row r="31" spans="1:27" x14ac:dyDescent="0.25">
      <c r="A31" t="s">
        <v>709</v>
      </c>
      <c r="B31" t="s">
        <v>649</v>
      </c>
      <c r="C31">
        <v>2568.2399999999998</v>
      </c>
      <c r="D31">
        <v>2790.59</v>
      </c>
      <c r="H31">
        <v>2699.44</v>
      </c>
      <c r="I31">
        <v>0</v>
      </c>
      <c r="J31" t="s">
        <v>620</v>
      </c>
      <c r="K31" t="s">
        <v>1</v>
      </c>
      <c r="M31" t="s">
        <v>265</v>
      </c>
      <c r="N31">
        <v>0</v>
      </c>
      <c r="O31">
        <v>2764.63</v>
      </c>
      <c r="P31">
        <v>36.78</v>
      </c>
      <c r="Q31">
        <v>37.64</v>
      </c>
      <c r="S31" t="s">
        <v>381</v>
      </c>
      <c r="T31">
        <v>2791</v>
      </c>
      <c r="U31">
        <v>2817.86</v>
      </c>
      <c r="V31">
        <v>11.64</v>
      </c>
      <c r="X31" t="s">
        <v>426</v>
      </c>
      <c r="Y31">
        <v>2804.19</v>
      </c>
      <c r="Z31">
        <v>2820</v>
      </c>
      <c r="AA31">
        <v>6.85</v>
      </c>
    </row>
    <row r="32" spans="1:27" x14ac:dyDescent="0.25">
      <c r="A32" t="s">
        <v>710</v>
      </c>
      <c r="B32" t="s">
        <v>650</v>
      </c>
      <c r="C32">
        <v>2571.52</v>
      </c>
      <c r="D32">
        <v>2790.68</v>
      </c>
      <c r="H32">
        <v>2696.16</v>
      </c>
      <c r="I32">
        <v>0</v>
      </c>
      <c r="J32" t="s">
        <v>620</v>
      </c>
      <c r="K32" t="s">
        <v>1</v>
      </c>
      <c r="M32" t="s">
        <v>266</v>
      </c>
      <c r="N32">
        <v>0</v>
      </c>
      <c r="O32">
        <v>2773.76</v>
      </c>
      <c r="P32">
        <v>32.200000000000003</v>
      </c>
      <c r="Q32">
        <v>35.44</v>
      </c>
      <c r="S32" t="s">
        <v>382</v>
      </c>
      <c r="T32">
        <v>2791</v>
      </c>
      <c r="U32">
        <v>2817.98</v>
      </c>
      <c r="V32">
        <v>11.69</v>
      </c>
      <c r="X32" t="s">
        <v>425</v>
      </c>
      <c r="Y32">
        <v>2804.19</v>
      </c>
      <c r="Z32">
        <v>2820</v>
      </c>
      <c r="AA32">
        <v>6.85</v>
      </c>
    </row>
    <row r="33" spans="1:27" x14ac:dyDescent="0.25">
      <c r="A33" t="s">
        <v>711</v>
      </c>
      <c r="B33" t="s">
        <v>651</v>
      </c>
      <c r="C33">
        <v>2568.2399999999998</v>
      </c>
      <c r="D33">
        <v>2790.77</v>
      </c>
      <c r="H33">
        <v>2735.52</v>
      </c>
      <c r="I33">
        <v>0</v>
      </c>
      <c r="J33" t="s">
        <v>620</v>
      </c>
      <c r="K33" t="s">
        <v>1</v>
      </c>
      <c r="M33" t="s">
        <v>267</v>
      </c>
      <c r="N33">
        <v>0</v>
      </c>
      <c r="O33">
        <v>2773.92</v>
      </c>
      <c r="P33">
        <v>33.69</v>
      </c>
      <c r="Q33">
        <v>35.409999999999997</v>
      </c>
      <c r="S33" t="s">
        <v>383</v>
      </c>
      <c r="T33">
        <v>2771.6</v>
      </c>
      <c r="U33">
        <v>2799.27</v>
      </c>
      <c r="V33">
        <v>11.99</v>
      </c>
      <c r="X33" t="s">
        <v>372</v>
      </c>
      <c r="Y33">
        <v>2601</v>
      </c>
      <c r="Z33">
        <v>2617.06</v>
      </c>
      <c r="AA33">
        <v>6.96</v>
      </c>
    </row>
    <row r="34" spans="1:27" x14ac:dyDescent="0.25">
      <c r="A34" t="s">
        <v>712</v>
      </c>
      <c r="B34" t="s">
        <v>652</v>
      </c>
      <c r="C34">
        <v>2584.64</v>
      </c>
      <c r="D34">
        <v>2790.85</v>
      </c>
      <c r="H34">
        <v>2732.24</v>
      </c>
      <c r="I34">
        <v>0</v>
      </c>
      <c r="J34" t="s">
        <v>620</v>
      </c>
      <c r="K34" t="s">
        <v>1</v>
      </c>
      <c r="M34" t="s">
        <v>268</v>
      </c>
      <c r="N34">
        <v>0</v>
      </c>
      <c r="O34">
        <v>2783.7</v>
      </c>
      <c r="P34">
        <v>20.88</v>
      </c>
      <c r="Q34">
        <v>33</v>
      </c>
      <c r="S34" t="s">
        <v>384</v>
      </c>
      <c r="T34">
        <v>2790.88</v>
      </c>
      <c r="U34">
        <v>2818.59</v>
      </c>
      <c r="V34">
        <v>12.01</v>
      </c>
      <c r="X34" t="s">
        <v>373</v>
      </c>
      <c r="Y34">
        <v>2601</v>
      </c>
      <c r="Z34">
        <v>2617.19</v>
      </c>
      <c r="AA34">
        <v>7.01</v>
      </c>
    </row>
    <row r="35" spans="1:27" x14ac:dyDescent="0.25">
      <c r="A35" t="s">
        <v>713</v>
      </c>
      <c r="B35" t="s">
        <v>653</v>
      </c>
      <c r="C35">
        <v>2584.64</v>
      </c>
      <c r="D35">
        <v>2790.94</v>
      </c>
      <c r="H35">
        <v>2758.48</v>
      </c>
      <c r="I35">
        <v>0</v>
      </c>
      <c r="J35" t="s">
        <v>620</v>
      </c>
      <c r="K35" t="s">
        <v>1</v>
      </c>
      <c r="M35" t="s">
        <v>269</v>
      </c>
      <c r="N35">
        <v>0</v>
      </c>
      <c r="O35">
        <v>2783.97</v>
      </c>
      <c r="P35">
        <v>22.42</v>
      </c>
      <c r="Q35">
        <v>32.93</v>
      </c>
      <c r="S35" t="s">
        <v>385</v>
      </c>
      <c r="T35">
        <v>2790.88</v>
      </c>
      <c r="U35">
        <v>2818.64</v>
      </c>
      <c r="V35">
        <v>12.03</v>
      </c>
      <c r="X35" t="s">
        <v>374</v>
      </c>
      <c r="Y35">
        <v>2601</v>
      </c>
      <c r="Z35">
        <v>2617.21</v>
      </c>
      <c r="AA35">
        <v>7.03</v>
      </c>
    </row>
    <row r="36" spans="1:27" x14ac:dyDescent="0.25">
      <c r="A36" t="s">
        <v>714</v>
      </c>
      <c r="B36" t="s">
        <v>654</v>
      </c>
      <c r="C36">
        <v>2574.8000000000002</v>
      </c>
      <c r="D36">
        <v>2791.01</v>
      </c>
      <c r="H36">
        <v>2761.76</v>
      </c>
      <c r="I36">
        <v>0</v>
      </c>
      <c r="J36" t="s">
        <v>620</v>
      </c>
      <c r="K36" t="s">
        <v>1</v>
      </c>
      <c r="M36" t="s">
        <v>270</v>
      </c>
      <c r="N36">
        <v>0</v>
      </c>
      <c r="O36">
        <v>2793.22</v>
      </c>
      <c r="P36">
        <v>15.05</v>
      </c>
      <c r="Q36">
        <v>30.65</v>
      </c>
      <c r="S36" t="s">
        <v>386</v>
      </c>
      <c r="T36">
        <v>2788</v>
      </c>
      <c r="U36">
        <v>2816.8</v>
      </c>
      <c r="V36">
        <v>12.48</v>
      </c>
      <c r="X36" t="s">
        <v>375</v>
      </c>
      <c r="Y36">
        <v>2601</v>
      </c>
      <c r="Z36">
        <v>2617.2199999999998</v>
      </c>
      <c r="AA36">
        <v>7.03</v>
      </c>
    </row>
    <row r="37" spans="1:27" x14ac:dyDescent="0.25">
      <c r="A37" t="s">
        <v>715</v>
      </c>
      <c r="B37" t="s">
        <v>655</v>
      </c>
      <c r="C37">
        <v>2568.2399999999998</v>
      </c>
      <c r="D37">
        <v>2791.09</v>
      </c>
      <c r="H37">
        <v>2765.04</v>
      </c>
      <c r="I37">
        <v>0</v>
      </c>
      <c r="J37" t="s">
        <v>620</v>
      </c>
      <c r="K37" t="s">
        <v>1</v>
      </c>
      <c r="M37" t="s">
        <v>271</v>
      </c>
      <c r="N37">
        <v>0</v>
      </c>
      <c r="O37">
        <v>2793.47</v>
      </c>
      <c r="P37">
        <v>13.74</v>
      </c>
      <c r="Q37">
        <v>30.57</v>
      </c>
      <c r="S37" t="s">
        <v>387</v>
      </c>
      <c r="T37">
        <v>2791.44</v>
      </c>
      <c r="U37">
        <v>2822.28</v>
      </c>
      <c r="V37">
        <v>13.36</v>
      </c>
      <c r="X37" t="s">
        <v>421</v>
      </c>
      <c r="Y37">
        <v>2801.93</v>
      </c>
      <c r="Z37">
        <v>2820</v>
      </c>
      <c r="AA37">
        <v>7.83</v>
      </c>
    </row>
    <row r="38" spans="1:27" x14ac:dyDescent="0.25">
      <c r="A38" t="s">
        <v>716</v>
      </c>
      <c r="B38" t="s">
        <v>656</v>
      </c>
      <c r="C38">
        <v>2558.4</v>
      </c>
      <c r="D38">
        <v>2791.17</v>
      </c>
      <c r="H38">
        <v>2761.76</v>
      </c>
      <c r="I38">
        <v>0</v>
      </c>
      <c r="J38" t="s">
        <v>620</v>
      </c>
      <c r="K38" t="s">
        <v>1</v>
      </c>
      <c r="M38" t="s">
        <v>272</v>
      </c>
      <c r="N38">
        <v>0</v>
      </c>
      <c r="O38">
        <v>2796.36</v>
      </c>
      <c r="P38">
        <v>13.57</v>
      </c>
      <c r="Q38">
        <v>29.65</v>
      </c>
      <c r="S38" t="s">
        <v>388</v>
      </c>
      <c r="T38">
        <v>2765.04</v>
      </c>
      <c r="U38">
        <v>2796.48</v>
      </c>
      <c r="V38">
        <v>13.62</v>
      </c>
      <c r="X38" t="s">
        <v>423</v>
      </c>
      <c r="Y38">
        <v>2799.3</v>
      </c>
      <c r="Z38">
        <v>2820</v>
      </c>
      <c r="AA38">
        <v>8.9700000000000006</v>
      </c>
    </row>
    <row r="39" spans="1:27" x14ac:dyDescent="0.25">
      <c r="A39" t="s">
        <v>458</v>
      </c>
      <c r="B39" t="s">
        <v>68</v>
      </c>
      <c r="C39">
        <v>2568.2399999999998</v>
      </c>
      <c r="D39">
        <v>2791.61</v>
      </c>
      <c r="H39">
        <v>2765.04</v>
      </c>
      <c r="I39">
        <v>0</v>
      </c>
      <c r="J39" t="s">
        <v>620</v>
      </c>
      <c r="K39" t="s">
        <v>1</v>
      </c>
      <c r="M39" t="s">
        <v>273</v>
      </c>
      <c r="N39">
        <v>0</v>
      </c>
      <c r="O39">
        <v>2798.09</v>
      </c>
      <c r="P39">
        <v>15.74</v>
      </c>
      <c r="Q39">
        <v>29.1</v>
      </c>
      <c r="S39" t="s">
        <v>389</v>
      </c>
      <c r="T39">
        <v>2761.76</v>
      </c>
      <c r="U39">
        <v>2793.51</v>
      </c>
      <c r="V39">
        <v>13.76</v>
      </c>
      <c r="X39" t="s">
        <v>410</v>
      </c>
      <c r="Y39">
        <v>2798.89</v>
      </c>
      <c r="Z39">
        <v>2820</v>
      </c>
      <c r="AA39">
        <v>9.15</v>
      </c>
    </row>
    <row r="40" spans="1:27" x14ac:dyDescent="0.25">
      <c r="A40" t="s">
        <v>457</v>
      </c>
      <c r="B40" t="s">
        <v>69</v>
      </c>
      <c r="C40">
        <v>2574.8000000000002</v>
      </c>
      <c r="D40">
        <v>2791.69</v>
      </c>
      <c r="H40">
        <v>2771.6</v>
      </c>
      <c r="I40">
        <v>0</v>
      </c>
      <c r="J40" t="s">
        <v>620</v>
      </c>
      <c r="K40" t="s">
        <v>1</v>
      </c>
      <c r="M40" t="s">
        <v>274</v>
      </c>
      <c r="N40">
        <v>0</v>
      </c>
      <c r="O40">
        <v>2798.31</v>
      </c>
      <c r="P40">
        <v>14.41</v>
      </c>
      <c r="Q40">
        <v>29.03</v>
      </c>
      <c r="S40" t="s">
        <v>390</v>
      </c>
      <c r="T40">
        <v>2784.72</v>
      </c>
      <c r="U40">
        <v>2816.6</v>
      </c>
      <c r="V40">
        <v>13.81</v>
      </c>
      <c r="X40" t="s">
        <v>452</v>
      </c>
      <c r="Y40">
        <v>2797.84</v>
      </c>
      <c r="Z40">
        <v>2820</v>
      </c>
      <c r="AA40">
        <v>9.6</v>
      </c>
    </row>
    <row r="41" spans="1:27" x14ac:dyDescent="0.25">
      <c r="A41" t="s">
        <v>459</v>
      </c>
      <c r="B41" t="s">
        <v>70</v>
      </c>
      <c r="C41">
        <v>2561.6799999999998</v>
      </c>
      <c r="D41">
        <v>2791.78</v>
      </c>
      <c r="H41">
        <v>2784.72</v>
      </c>
      <c r="I41">
        <v>0</v>
      </c>
      <c r="J41" t="s">
        <v>620</v>
      </c>
      <c r="K41" t="s">
        <v>1</v>
      </c>
      <c r="M41" t="s">
        <v>275</v>
      </c>
      <c r="N41">
        <v>0</v>
      </c>
      <c r="O41">
        <v>2799.07</v>
      </c>
      <c r="P41">
        <v>11.9</v>
      </c>
      <c r="Q41">
        <v>28.79</v>
      </c>
      <c r="S41" t="s">
        <v>391</v>
      </c>
      <c r="T41">
        <v>2765.04</v>
      </c>
      <c r="U41">
        <v>2798.48</v>
      </c>
      <c r="V41">
        <v>14.49</v>
      </c>
      <c r="X41" t="s">
        <v>400</v>
      </c>
      <c r="Y41">
        <v>2793.06</v>
      </c>
      <c r="Z41">
        <v>2820</v>
      </c>
      <c r="AA41">
        <v>11.67</v>
      </c>
    </row>
    <row r="42" spans="1:27" x14ac:dyDescent="0.25">
      <c r="A42" t="s">
        <v>717</v>
      </c>
      <c r="B42" t="s">
        <v>657</v>
      </c>
      <c r="C42">
        <v>2591.1999999999998</v>
      </c>
      <c r="D42">
        <v>2792.22</v>
      </c>
      <c r="H42">
        <v>2788</v>
      </c>
      <c r="I42">
        <v>0</v>
      </c>
      <c r="J42" t="s">
        <v>620</v>
      </c>
      <c r="K42" t="s">
        <v>1</v>
      </c>
      <c r="M42" t="s">
        <v>276</v>
      </c>
      <c r="N42">
        <v>0</v>
      </c>
      <c r="O42">
        <v>2815.96</v>
      </c>
      <c r="P42">
        <v>13.54</v>
      </c>
      <c r="Q42">
        <v>23.65</v>
      </c>
      <c r="S42" t="s">
        <v>392</v>
      </c>
      <c r="T42">
        <v>2758.48</v>
      </c>
      <c r="U42">
        <v>2793.26</v>
      </c>
      <c r="V42">
        <v>15.07</v>
      </c>
      <c r="X42" t="s">
        <v>397</v>
      </c>
      <c r="Y42">
        <v>2792.37</v>
      </c>
      <c r="Z42">
        <v>2820</v>
      </c>
      <c r="AA42">
        <v>11.97</v>
      </c>
    </row>
    <row r="43" spans="1:27" x14ac:dyDescent="0.25">
      <c r="A43" t="s">
        <v>718</v>
      </c>
      <c r="B43" t="s">
        <v>658</v>
      </c>
      <c r="C43">
        <v>2587.92</v>
      </c>
      <c r="D43">
        <v>2792.31</v>
      </c>
      <c r="H43">
        <v>2781.44</v>
      </c>
      <c r="I43">
        <v>0</v>
      </c>
      <c r="J43" t="s">
        <v>620</v>
      </c>
      <c r="K43" t="s">
        <v>1</v>
      </c>
      <c r="M43" t="s">
        <v>277</v>
      </c>
      <c r="N43">
        <v>0</v>
      </c>
      <c r="O43">
        <v>2816.16</v>
      </c>
      <c r="P43">
        <v>12.2</v>
      </c>
      <c r="Q43">
        <v>23.59</v>
      </c>
      <c r="S43" t="s">
        <v>393</v>
      </c>
      <c r="T43">
        <v>2781.44</v>
      </c>
      <c r="U43">
        <v>2817.57</v>
      </c>
      <c r="V43">
        <v>15.65</v>
      </c>
      <c r="X43" t="s">
        <v>379</v>
      </c>
      <c r="Y43">
        <v>2792.16</v>
      </c>
      <c r="Z43">
        <v>2820</v>
      </c>
      <c r="AA43">
        <v>12.06</v>
      </c>
    </row>
    <row r="44" spans="1:27" x14ac:dyDescent="0.25">
      <c r="A44" t="s">
        <v>719</v>
      </c>
      <c r="B44" t="s">
        <v>659</v>
      </c>
      <c r="C44">
        <v>2587.92</v>
      </c>
      <c r="D44">
        <v>2792.39</v>
      </c>
      <c r="H44">
        <v>2781.44</v>
      </c>
      <c r="I44">
        <v>0</v>
      </c>
      <c r="J44" t="s">
        <v>620</v>
      </c>
      <c r="K44" t="s">
        <v>1</v>
      </c>
      <c r="M44" t="s">
        <v>278</v>
      </c>
      <c r="N44">
        <v>0</v>
      </c>
      <c r="O44">
        <v>2816.91</v>
      </c>
      <c r="P44">
        <v>15.37</v>
      </c>
      <c r="Q44">
        <v>23.37</v>
      </c>
      <c r="S44" t="s">
        <v>394</v>
      </c>
      <c r="T44">
        <v>2781.44</v>
      </c>
      <c r="U44">
        <v>2817.66</v>
      </c>
      <c r="V44">
        <v>15.69</v>
      </c>
      <c r="X44" t="s">
        <v>380</v>
      </c>
      <c r="Y44">
        <v>2791.44</v>
      </c>
      <c r="Z44">
        <v>2820</v>
      </c>
      <c r="AA44">
        <v>12.37</v>
      </c>
    </row>
    <row r="45" spans="1:27" x14ac:dyDescent="0.25">
      <c r="A45" t="s">
        <v>720</v>
      </c>
      <c r="B45" t="s">
        <v>660</v>
      </c>
      <c r="C45">
        <v>2584.64</v>
      </c>
      <c r="D45">
        <v>2792.47</v>
      </c>
      <c r="H45">
        <v>2781.44</v>
      </c>
      <c r="I45">
        <v>0</v>
      </c>
      <c r="J45" t="s">
        <v>620</v>
      </c>
      <c r="K45" t="s">
        <v>1</v>
      </c>
      <c r="M45" t="s">
        <v>279</v>
      </c>
      <c r="N45">
        <v>0</v>
      </c>
      <c r="O45">
        <v>2816.99</v>
      </c>
      <c r="P45">
        <v>15.41</v>
      </c>
      <c r="Q45">
        <v>23.35</v>
      </c>
      <c r="S45" t="s">
        <v>395</v>
      </c>
      <c r="T45">
        <v>2781.44</v>
      </c>
      <c r="U45">
        <v>2817.8</v>
      </c>
      <c r="V45">
        <v>15.76</v>
      </c>
      <c r="X45" t="s">
        <v>387</v>
      </c>
      <c r="Y45">
        <v>2791.44</v>
      </c>
      <c r="Z45">
        <v>2820</v>
      </c>
      <c r="AA45">
        <v>12.37</v>
      </c>
    </row>
    <row r="46" spans="1:27" x14ac:dyDescent="0.25">
      <c r="A46" t="s">
        <v>721</v>
      </c>
      <c r="B46" t="s">
        <v>661</v>
      </c>
      <c r="C46">
        <v>2597.7600000000002</v>
      </c>
      <c r="D46">
        <v>2792.56</v>
      </c>
      <c r="H46">
        <v>2781.44</v>
      </c>
      <c r="I46">
        <v>0</v>
      </c>
      <c r="J46" t="s">
        <v>620</v>
      </c>
      <c r="K46" t="s">
        <v>1</v>
      </c>
      <c r="M46" t="s">
        <v>280</v>
      </c>
      <c r="N46">
        <v>0</v>
      </c>
      <c r="O46">
        <v>2817.14</v>
      </c>
      <c r="P46">
        <v>15.47</v>
      </c>
      <c r="Q46">
        <v>23.31</v>
      </c>
      <c r="S46" t="s">
        <v>396</v>
      </c>
      <c r="T46">
        <v>2781.44</v>
      </c>
      <c r="U46">
        <v>2817.83</v>
      </c>
      <c r="V46">
        <v>15.77</v>
      </c>
      <c r="X46" t="s">
        <v>399</v>
      </c>
      <c r="Y46">
        <v>2791.28</v>
      </c>
      <c r="Z46">
        <v>2820</v>
      </c>
      <c r="AA46">
        <v>12.44</v>
      </c>
    </row>
    <row r="47" spans="1:27" x14ac:dyDescent="0.25">
      <c r="A47" t="s">
        <v>722</v>
      </c>
      <c r="B47" t="s">
        <v>662</v>
      </c>
      <c r="C47">
        <v>2587.92</v>
      </c>
      <c r="D47">
        <v>2792.63</v>
      </c>
      <c r="H47">
        <v>2791.44</v>
      </c>
      <c r="I47">
        <v>0</v>
      </c>
      <c r="J47" t="s">
        <v>620</v>
      </c>
      <c r="K47" t="s">
        <v>1</v>
      </c>
      <c r="M47" t="s">
        <v>281</v>
      </c>
      <c r="N47">
        <v>0</v>
      </c>
      <c r="O47">
        <v>2817.17</v>
      </c>
      <c r="P47">
        <v>15.48</v>
      </c>
      <c r="Q47">
        <v>23.3</v>
      </c>
      <c r="S47" t="s">
        <v>397</v>
      </c>
      <c r="T47">
        <v>2792.37</v>
      </c>
      <c r="U47">
        <v>2828.82</v>
      </c>
      <c r="V47">
        <v>15.79</v>
      </c>
      <c r="X47" t="s">
        <v>412</v>
      </c>
      <c r="Y47">
        <v>2791.28</v>
      </c>
      <c r="Z47">
        <v>2820</v>
      </c>
      <c r="AA47">
        <v>12.44</v>
      </c>
    </row>
    <row r="48" spans="1:27" x14ac:dyDescent="0.25">
      <c r="A48" t="s">
        <v>723</v>
      </c>
      <c r="B48" t="s">
        <v>663</v>
      </c>
      <c r="C48">
        <v>2597.7600000000002</v>
      </c>
      <c r="D48">
        <v>2792.72</v>
      </c>
      <c r="H48">
        <v>2792.16</v>
      </c>
      <c r="I48">
        <v>0</v>
      </c>
      <c r="J48" t="s">
        <v>620</v>
      </c>
      <c r="K48" t="s">
        <v>622</v>
      </c>
      <c r="M48" t="s">
        <v>282</v>
      </c>
      <c r="N48">
        <v>0</v>
      </c>
      <c r="O48">
        <v>2817.42</v>
      </c>
      <c r="P48">
        <v>15.59</v>
      </c>
      <c r="Q48">
        <v>0.09</v>
      </c>
      <c r="S48" t="s">
        <v>398</v>
      </c>
      <c r="T48">
        <v>2761.76</v>
      </c>
      <c r="U48">
        <v>2798.26</v>
      </c>
      <c r="V48">
        <v>15.81</v>
      </c>
      <c r="X48" t="s">
        <v>382</v>
      </c>
      <c r="Y48">
        <v>2791</v>
      </c>
      <c r="Z48">
        <v>2820</v>
      </c>
      <c r="AA48">
        <v>12.57</v>
      </c>
    </row>
    <row r="49" spans="1:27" x14ac:dyDescent="0.25">
      <c r="A49" t="s">
        <v>724</v>
      </c>
      <c r="B49" t="s">
        <v>664</v>
      </c>
      <c r="C49">
        <v>2594.48</v>
      </c>
      <c r="D49">
        <v>2792.79</v>
      </c>
      <c r="H49">
        <v>2790.88</v>
      </c>
      <c r="I49">
        <v>0</v>
      </c>
      <c r="J49" t="s">
        <v>620</v>
      </c>
      <c r="K49" t="s">
        <v>623</v>
      </c>
      <c r="M49" t="s">
        <v>283</v>
      </c>
      <c r="N49">
        <v>0</v>
      </c>
      <c r="O49">
        <v>2817.86</v>
      </c>
      <c r="P49">
        <v>17.2</v>
      </c>
      <c r="Q49">
        <v>0.09</v>
      </c>
      <c r="S49" t="s">
        <v>399</v>
      </c>
      <c r="T49">
        <v>2791.28</v>
      </c>
      <c r="U49">
        <v>2828.75</v>
      </c>
      <c r="V49">
        <v>16.239999999999998</v>
      </c>
      <c r="X49" t="s">
        <v>381</v>
      </c>
      <c r="Y49">
        <v>2791</v>
      </c>
      <c r="Z49">
        <v>2820.01</v>
      </c>
      <c r="AA49">
        <v>12.57</v>
      </c>
    </row>
    <row r="50" spans="1:27" x14ac:dyDescent="0.25">
      <c r="A50" t="s">
        <v>725</v>
      </c>
      <c r="B50" t="s">
        <v>665</v>
      </c>
      <c r="C50">
        <v>2601.04</v>
      </c>
      <c r="D50">
        <v>2792.85</v>
      </c>
      <c r="H50">
        <v>2790.88</v>
      </c>
      <c r="I50">
        <v>0</v>
      </c>
      <c r="J50" t="s">
        <v>620</v>
      </c>
      <c r="K50" t="s">
        <v>623</v>
      </c>
      <c r="M50" t="s">
        <v>284</v>
      </c>
      <c r="N50">
        <v>0</v>
      </c>
      <c r="O50">
        <v>2817.93</v>
      </c>
      <c r="P50">
        <v>18.649999999999999</v>
      </c>
      <c r="Q50">
        <v>0.09</v>
      </c>
      <c r="S50" t="s">
        <v>400</v>
      </c>
      <c r="T50">
        <v>2793.06</v>
      </c>
      <c r="U50">
        <v>2831.18</v>
      </c>
      <c r="V50">
        <v>16.52</v>
      </c>
      <c r="X50" t="s">
        <v>385</v>
      </c>
      <c r="Y50">
        <v>2790.88</v>
      </c>
      <c r="Z50">
        <v>2820</v>
      </c>
      <c r="AA50">
        <v>12.62</v>
      </c>
    </row>
    <row r="51" spans="1:27" x14ac:dyDescent="0.25">
      <c r="A51" t="s">
        <v>726</v>
      </c>
      <c r="B51" t="s">
        <v>666</v>
      </c>
      <c r="C51">
        <v>2607.6</v>
      </c>
      <c r="D51">
        <v>2792.94</v>
      </c>
      <c r="H51">
        <v>2791.44</v>
      </c>
      <c r="I51">
        <v>0</v>
      </c>
      <c r="J51" t="s">
        <v>620</v>
      </c>
      <c r="K51" t="s">
        <v>624</v>
      </c>
      <c r="M51" t="s">
        <v>285</v>
      </c>
      <c r="N51">
        <v>0</v>
      </c>
      <c r="O51">
        <v>2817.98</v>
      </c>
      <c r="P51">
        <v>18.670000000000002</v>
      </c>
      <c r="Q51">
        <v>0.09</v>
      </c>
      <c r="S51" t="s">
        <v>401</v>
      </c>
      <c r="T51">
        <v>2591.1999999999998</v>
      </c>
      <c r="U51">
        <v>2632.86</v>
      </c>
      <c r="V51">
        <v>18.05</v>
      </c>
      <c r="X51" t="s">
        <v>384</v>
      </c>
      <c r="Y51">
        <v>2790.88</v>
      </c>
      <c r="Z51">
        <v>2820</v>
      </c>
      <c r="AA51">
        <v>12.62</v>
      </c>
    </row>
    <row r="52" spans="1:27" x14ac:dyDescent="0.25">
      <c r="A52" t="s">
        <v>727</v>
      </c>
      <c r="B52" t="s">
        <v>667</v>
      </c>
      <c r="C52">
        <v>2614.16</v>
      </c>
      <c r="D52">
        <v>2793</v>
      </c>
      <c r="H52">
        <v>2791.28</v>
      </c>
      <c r="I52">
        <v>0</v>
      </c>
      <c r="J52" t="s">
        <v>620</v>
      </c>
      <c r="K52" t="s">
        <v>1</v>
      </c>
      <c r="M52" t="s">
        <v>286</v>
      </c>
      <c r="N52">
        <v>0</v>
      </c>
      <c r="O52">
        <v>2821.63</v>
      </c>
      <c r="P52">
        <v>17.41</v>
      </c>
      <c r="Q52">
        <v>0.03</v>
      </c>
      <c r="S52" t="s">
        <v>402</v>
      </c>
      <c r="T52">
        <v>2587.92</v>
      </c>
      <c r="U52">
        <v>2632.68</v>
      </c>
      <c r="V52">
        <v>19.399999999999999</v>
      </c>
      <c r="X52" t="s">
        <v>386</v>
      </c>
      <c r="Y52">
        <v>2788</v>
      </c>
      <c r="Z52">
        <v>2820.01</v>
      </c>
      <c r="AA52">
        <v>13.87</v>
      </c>
    </row>
    <row r="53" spans="1:27" x14ac:dyDescent="0.25">
      <c r="A53" t="s">
        <v>728</v>
      </c>
      <c r="B53" t="s">
        <v>668</v>
      </c>
      <c r="C53">
        <v>2610.88</v>
      </c>
      <c r="D53">
        <v>2793.1</v>
      </c>
      <c r="H53">
        <v>2793.06</v>
      </c>
      <c r="I53">
        <v>0</v>
      </c>
      <c r="J53" t="s">
        <v>620</v>
      </c>
      <c r="K53" t="s">
        <v>1</v>
      </c>
      <c r="M53" t="s">
        <v>287</v>
      </c>
      <c r="N53">
        <v>0</v>
      </c>
      <c r="O53">
        <v>2828.11</v>
      </c>
      <c r="P53">
        <v>15.96</v>
      </c>
      <c r="Q53">
        <v>0.03</v>
      </c>
      <c r="S53" t="s">
        <v>403</v>
      </c>
      <c r="T53">
        <v>2735.52</v>
      </c>
      <c r="U53">
        <v>2783.49</v>
      </c>
      <c r="V53">
        <v>20.79</v>
      </c>
      <c r="X53" t="s">
        <v>409</v>
      </c>
      <c r="Y53">
        <v>2787.48</v>
      </c>
      <c r="Z53">
        <v>2820</v>
      </c>
      <c r="AA53">
        <v>14.09</v>
      </c>
    </row>
    <row r="54" spans="1:27" x14ac:dyDescent="0.25">
      <c r="A54" t="s">
        <v>729</v>
      </c>
      <c r="B54" t="s">
        <v>669</v>
      </c>
      <c r="C54">
        <v>2617.44</v>
      </c>
      <c r="D54">
        <v>2793.18</v>
      </c>
      <c r="H54">
        <v>2781.53</v>
      </c>
      <c r="I54">
        <v>0</v>
      </c>
      <c r="J54" t="s">
        <v>620</v>
      </c>
      <c r="K54" t="s">
        <v>623</v>
      </c>
      <c r="M54" t="s">
        <v>288</v>
      </c>
      <c r="N54">
        <v>0</v>
      </c>
      <c r="O54">
        <v>2830.55</v>
      </c>
      <c r="P54">
        <v>17.010000000000002</v>
      </c>
      <c r="Q54">
        <v>0.01</v>
      </c>
      <c r="S54" t="s">
        <v>404</v>
      </c>
      <c r="T54">
        <v>2781.53</v>
      </c>
      <c r="U54">
        <v>2831.26</v>
      </c>
      <c r="V54">
        <v>21.55</v>
      </c>
      <c r="X54" t="s">
        <v>408</v>
      </c>
      <c r="Y54">
        <v>2787.48</v>
      </c>
      <c r="Z54">
        <v>2820</v>
      </c>
      <c r="AA54">
        <v>14.09</v>
      </c>
    </row>
    <row r="55" spans="1:27" x14ac:dyDescent="0.25">
      <c r="A55" t="s">
        <v>730</v>
      </c>
      <c r="B55" t="s">
        <v>670</v>
      </c>
      <c r="C55">
        <v>2607.6</v>
      </c>
      <c r="D55">
        <v>2793.23</v>
      </c>
      <c r="H55">
        <v>2787.48</v>
      </c>
      <c r="I55">
        <v>0</v>
      </c>
      <c r="J55" t="s">
        <v>620</v>
      </c>
      <c r="K55" t="s">
        <v>625</v>
      </c>
      <c r="M55" t="s">
        <v>289</v>
      </c>
      <c r="N55">
        <v>0</v>
      </c>
      <c r="O55">
        <v>2830.63</v>
      </c>
      <c r="P55">
        <v>24.16</v>
      </c>
      <c r="Q55">
        <v>0</v>
      </c>
      <c r="S55" t="s">
        <v>405</v>
      </c>
      <c r="T55">
        <v>2587.92</v>
      </c>
      <c r="U55">
        <v>2637.69</v>
      </c>
      <c r="V55">
        <v>21.56</v>
      </c>
      <c r="X55" t="s">
        <v>407</v>
      </c>
      <c r="Y55">
        <v>2787.48</v>
      </c>
      <c r="Z55">
        <v>2820</v>
      </c>
      <c r="AA55">
        <v>14.09</v>
      </c>
    </row>
    <row r="56" spans="1:27" x14ac:dyDescent="0.25">
      <c r="A56" t="s">
        <v>456</v>
      </c>
      <c r="B56" t="s">
        <v>71</v>
      </c>
      <c r="C56">
        <v>2610.88</v>
      </c>
      <c r="D56">
        <v>2793.68</v>
      </c>
      <c r="H56">
        <v>2787.48</v>
      </c>
      <c r="I56">
        <v>0</v>
      </c>
      <c r="J56" t="s">
        <v>620</v>
      </c>
      <c r="K56" t="s">
        <v>626</v>
      </c>
      <c r="M56" t="s">
        <v>290</v>
      </c>
      <c r="N56">
        <v>0</v>
      </c>
      <c r="O56">
        <v>2838.81</v>
      </c>
      <c r="P56">
        <v>23.44</v>
      </c>
      <c r="Q56">
        <v>0.01</v>
      </c>
      <c r="S56" t="s">
        <v>406</v>
      </c>
      <c r="T56">
        <v>2732.24</v>
      </c>
      <c r="U56">
        <v>2783.78</v>
      </c>
      <c r="V56">
        <v>22.33</v>
      </c>
      <c r="X56" t="s">
        <v>414</v>
      </c>
      <c r="Y56">
        <v>2784.72</v>
      </c>
      <c r="Z56">
        <v>2820</v>
      </c>
      <c r="AA56">
        <v>15.29</v>
      </c>
    </row>
    <row r="57" spans="1:27" x14ac:dyDescent="0.25">
      <c r="A57" t="s">
        <v>455</v>
      </c>
      <c r="B57" t="s">
        <v>72</v>
      </c>
      <c r="C57">
        <v>2614.16</v>
      </c>
      <c r="D57">
        <v>2793.69</v>
      </c>
      <c r="H57">
        <v>2787.48</v>
      </c>
      <c r="I57">
        <v>0</v>
      </c>
      <c r="J57" t="s">
        <v>620</v>
      </c>
      <c r="K57" t="s">
        <v>1</v>
      </c>
      <c r="M57" t="s">
        <v>291</v>
      </c>
      <c r="N57">
        <v>0</v>
      </c>
      <c r="O57">
        <v>2838.87</v>
      </c>
      <c r="P57">
        <v>23.46</v>
      </c>
      <c r="Q57">
        <v>0.01</v>
      </c>
      <c r="S57" t="s">
        <v>407</v>
      </c>
      <c r="T57">
        <v>2787.48</v>
      </c>
      <c r="U57">
        <v>2839.42</v>
      </c>
      <c r="V57">
        <v>22.5</v>
      </c>
      <c r="X57" t="s">
        <v>415</v>
      </c>
      <c r="Y57">
        <v>2784.72</v>
      </c>
      <c r="Z57">
        <v>2820</v>
      </c>
      <c r="AA57">
        <v>15.29</v>
      </c>
    </row>
    <row r="58" spans="1:27" x14ac:dyDescent="0.25">
      <c r="A58" t="s">
        <v>731</v>
      </c>
      <c r="B58" t="s">
        <v>671</v>
      </c>
      <c r="C58">
        <v>2610.88</v>
      </c>
      <c r="D58">
        <v>2794.14</v>
      </c>
      <c r="H58">
        <v>2784.72</v>
      </c>
      <c r="I58">
        <v>0</v>
      </c>
      <c r="J58" t="s">
        <v>620</v>
      </c>
      <c r="K58" t="s">
        <v>1</v>
      </c>
      <c r="M58" t="s">
        <v>292</v>
      </c>
      <c r="N58">
        <v>0</v>
      </c>
      <c r="O58">
        <v>2838.88</v>
      </c>
      <c r="P58">
        <v>22.05</v>
      </c>
      <c r="Q58">
        <v>0</v>
      </c>
      <c r="S58" t="s">
        <v>408</v>
      </c>
      <c r="T58">
        <v>2787.48</v>
      </c>
      <c r="U58">
        <v>2839.48</v>
      </c>
      <c r="V58">
        <v>22.53</v>
      </c>
      <c r="X58" t="s">
        <v>444</v>
      </c>
      <c r="Y58">
        <v>2784.72</v>
      </c>
      <c r="Z58">
        <v>2820</v>
      </c>
      <c r="AA58">
        <v>15.29</v>
      </c>
    </row>
    <row r="59" spans="1:27" x14ac:dyDescent="0.25">
      <c r="A59" t="s">
        <v>732</v>
      </c>
      <c r="B59" t="s">
        <v>672</v>
      </c>
      <c r="C59">
        <v>2601.04</v>
      </c>
      <c r="D59">
        <v>2794.23</v>
      </c>
      <c r="H59">
        <v>2784.72</v>
      </c>
      <c r="I59">
        <v>0</v>
      </c>
      <c r="J59" t="s">
        <v>620</v>
      </c>
      <c r="K59" t="s">
        <v>1</v>
      </c>
      <c r="M59" t="s">
        <v>293</v>
      </c>
      <c r="N59">
        <v>0</v>
      </c>
      <c r="O59">
        <v>2849.25</v>
      </c>
      <c r="P59">
        <v>27.96</v>
      </c>
      <c r="Q59">
        <v>0.01</v>
      </c>
      <c r="S59" t="s">
        <v>409</v>
      </c>
      <c r="T59">
        <v>2787.48</v>
      </c>
      <c r="U59">
        <v>2839.48</v>
      </c>
      <c r="V59">
        <v>22.53</v>
      </c>
      <c r="X59" t="s">
        <v>390</v>
      </c>
      <c r="Y59">
        <v>2784.72</v>
      </c>
      <c r="Z59">
        <v>2820.01</v>
      </c>
      <c r="AA59">
        <v>15.29</v>
      </c>
    </row>
    <row r="60" spans="1:27" x14ac:dyDescent="0.25">
      <c r="A60" t="s">
        <v>453</v>
      </c>
      <c r="B60" t="s">
        <v>73</v>
      </c>
      <c r="C60">
        <v>2624</v>
      </c>
      <c r="D60">
        <v>2794.69</v>
      </c>
      <c r="H60">
        <v>2781.44</v>
      </c>
      <c r="I60">
        <v>0</v>
      </c>
      <c r="J60" t="s">
        <v>620</v>
      </c>
      <c r="K60" t="s">
        <v>1</v>
      </c>
      <c r="M60" t="s">
        <v>294</v>
      </c>
      <c r="N60">
        <v>0</v>
      </c>
      <c r="O60">
        <v>2849.29</v>
      </c>
      <c r="P60">
        <v>27.98</v>
      </c>
      <c r="Q60">
        <v>0.01</v>
      </c>
      <c r="S60" t="s">
        <v>410</v>
      </c>
      <c r="T60">
        <v>2798.89</v>
      </c>
      <c r="U60">
        <v>2851.52</v>
      </c>
      <c r="V60">
        <v>22.81</v>
      </c>
      <c r="X60" t="s">
        <v>404</v>
      </c>
      <c r="Y60">
        <v>2781.53</v>
      </c>
      <c r="Z60">
        <v>2820</v>
      </c>
      <c r="AA60">
        <v>16.670000000000002</v>
      </c>
    </row>
    <row r="61" spans="1:27" x14ac:dyDescent="0.25">
      <c r="A61" t="s">
        <v>733</v>
      </c>
      <c r="B61" t="s">
        <v>673</v>
      </c>
      <c r="C61">
        <v>2617.44</v>
      </c>
      <c r="D61">
        <v>2795.14</v>
      </c>
      <c r="H61">
        <v>2781.44</v>
      </c>
      <c r="I61">
        <v>0</v>
      </c>
      <c r="J61" t="s">
        <v>620</v>
      </c>
      <c r="K61" t="s">
        <v>1</v>
      </c>
      <c r="M61" t="s">
        <v>295</v>
      </c>
      <c r="N61">
        <v>0</v>
      </c>
      <c r="O61">
        <v>2849.33</v>
      </c>
      <c r="P61">
        <v>29.42</v>
      </c>
      <c r="Q61">
        <v>0.01</v>
      </c>
      <c r="S61" t="s">
        <v>411</v>
      </c>
      <c r="T61">
        <v>2581.36</v>
      </c>
      <c r="U61">
        <v>2642.23</v>
      </c>
      <c r="V61">
        <v>26.38</v>
      </c>
      <c r="X61" t="s">
        <v>417</v>
      </c>
      <c r="Y61">
        <v>2781.44</v>
      </c>
      <c r="Z61">
        <v>2820</v>
      </c>
      <c r="AA61">
        <v>16.71</v>
      </c>
    </row>
    <row r="62" spans="1:27" x14ac:dyDescent="0.25">
      <c r="A62" t="s">
        <v>734</v>
      </c>
      <c r="B62" t="s">
        <v>674</v>
      </c>
      <c r="C62">
        <v>2627.28</v>
      </c>
      <c r="D62">
        <v>2795.23</v>
      </c>
      <c r="H62">
        <v>2791.28</v>
      </c>
      <c r="I62">
        <v>0</v>
      </c>
      <c r="J62" t="s">
        <v>620</v>
      </c>
      <c r="K62" t="s">
        <v>627</v>
      </c>
      <c r="M62" t="s">
        <v>296</v>
      </c>
      <c r="N62">
        <v>0</v>
      </c>
      <c r="O62">
        <v>2849.5</v>
      </c>
      <c r="P62">
        <v>29.49</v>
      </c>
      <c r="Q62">
        <v>0.01</v>
      </c>
      <c r="S62" t="s">
        <v>412</v>
      </c>
      <c r="T62">
        <v>2791.28</v>
      </c>
      <c r="U62">
        <v>2852.19</v>
      </c>
      <c r="V62">
        <v>26.39</v>
      </c>
      <c r="X62" t="s">
        <v>418</v>
      </c>
      <c r="Y62">
        <v>2781.44</v>
      </c>
      <c r="Z62">
        <v>2820</v>
      </c>
      <c r="AA62">
        <v>16.71</v>
      </c>
    </row>
    <row r="63" spans="1:27" x14ac:dyDescent="0.25">
      <c r="A63" t="s">
        <v>454</v>
      </c>
      <c r="B63" t="s">
        <v>74</v>
      </c>
      <c r="C63">
        <v>2630.56</v>
      </c>
      <c r="D63">
        <v>2795.69</v>
      </c>
      <c r="H63">
        <v>2774.88</v>
      </c>
      <c r="I63">
        <v>0</v>
      </c>
      <c r="J63" t="s">
        <v>620</v>
      </c>
      <c r="K63" t="s">
        <v>628</v>
      </c>
      <c r="M63" t="s">
        <v>297</v>
      </c>
      <c r="N63">
        <v>0</v>
      </c>
      <c r="O63">
        <v>2851.62</v>
      </c>
      <c r="P63">
        <v>26.15</v>
      </c>
      <c r="Q63">
        <v>0</v>
      </c>
      <c r="S63" t="s">
        <v>413</v>
      </c>
      <c r="T63">
        <v>2578.08</v>
      </c>
      <c r="U63">
        <v>2640.72</v>
      </c>
      <c r="V63">
        <v>27.14</v>
      </c>
      <c r="X63" t="s">
        <v>396</v>
      </c>
      <c r="Y63">
        <v>2781.44</v>
      </c>
      <c r="Z63">
        <v>2820.01</v>
      </c>
      <c r="AA63">
        <v>16.71</v>
      </c>
    </row>
    <row r="64" spans="1:27" x14ac:dyDescent="0.25">
      <c r="A64" t="s">
        <v>735</v>
      </c>
      <c r="B64" t="s">
        <v>675</v>
      </c>
      <c r="C64">
        <v>2633.84</v>
      </c>
      <c r="D64">
        <v>2796.14</v>
      </c>
      <c r="H64">
        <v>2799.3</v>
      </c>
      <c r="I64">
        <v>0</v>
      </c>
      <c r="J64" t="s">
        <v>620</v>
      </c>
      <c r="K64" t="s">
        <v>627</v>
      </c>
      <c r="M64" t="s">
        <v>298</v>
      </c>
      <c r="N64">
        <v>0</v>
      </c>
      <c r="O64">
        <v>2853.8</v>
      </c>
      <c r="P64">
        <v>34.200000000000003</v>
      </c>
      <c r="Q64">
        <v>0</v>
      </c>
      <c r="S64" t="s">
        <v>414</v>
      </c>
      <c r="T64">
        <v>2784.72</v>
      </c>
      <c r="U64">
        <v>2849.82</v>
      </c>
      <c r="V64">
        <v>28.21</v>
      </c>
      <c r="X64" t="s">
        <v>395</v>
      </c>
      <c r="Y64">
        <v>2781.44</v>
      </c>
      <c r="Z64">
        <v>2820.01</v>
      </c>
      <c r="AA64">
        <v>16.71</v>
      </c>
    </row>
    <row r="65" spans="1:27" x14ac:dyDescent="0.25">
      <c r="A65" t="s">
        <v>736</v>
      </c>
      <c r="B65" t="s">
        <v>676</v>
      </c>
      <c r="C65">
        <v>2650.24</v>
      </c>
      <c r="D65">
        <v>2796.26</v>
      </c>
      <c r="H65">
        <v>2801.93</v>
      </c>
      <c r="I65">
        <v>0</v>
      </c>
      <c r="J65" t="s">
        <v>620</v>
      </c>
      <c r="K65" t="s">
        <v>626</v>
      </c>
      <c r="M65" t="s">
        <v>299</v>
      </c>
      <c r="N65">
        <v>0</v>
      </c>
      <c r="O65">
        <v>2873.55</v>
      </c>
      <c r="P65">
        <v>35.65</v>
      </c>
      <c r="Q65">
        <v>0</v>
      </c>
      <c r="S65" t="s">
        <v>415</v>
      </c>
      <c r="T65">
        <v>2784.72</v>
      </c>
      <c r="U65">
        <v>2849.87</v>
      </c>
      <c r="V65">
        <v>28.23</v>
      </c>
      <c r="X65" t="s">
        <v>394</v>
      </c>
      <c r="Y65">
        <v>2781.44</v>
      </c>
      <c r="Z65">
        <v>2820.01</v>
      </c>
      <c r="AA65">
        <v>16.71</v>
      </c>
    </row>
    <row r="66" spans="1:27" x14ac:dyDescent="0.25">
      <c r="A66" t="s">
        <v>434</v>
      </c>
      <c r="B66" t="s">
        <v>75</v>
      </c>
      <c r="C66">
        <v>2656.8</v>
      </c>
      <c r="D66">
        <v>2796.72</v>
      </c>
      <c r="H66">
        <v>2805.21</v>
      </c>
      <c r="I66">
        <v>0</v>
      </c>
      <c r="J66" t="s">
        <v>620</v>
      </c>
      <c r="K66" t="s">
        <v>629</v>
      </c>
      <c r="M66" t="s">
        <v>300</v>
      </c>
      <c r="N66">
        <v>0</v>
      </c>
      <c r="O66">
        <v>2873.69</v>
      </c>
      <c r="P66">
        <v>38.549999999999997</v>
      </c>
      <c r="Q66">
        <v>0</v>
      </c>
      <c r="S66" t="s">
        <v>416</v>
      </c>
      <c r="T66">
        <v>2574.8000000000002</v>
      </c>
      <c r="U66">
        <v>2642.44</v>
      </c>
      <c r="V66">
        <v>29.31</v>
      </c>
      <c r="X66" t="s">
        <v>393</v>
      </c>
      <c r="Y66">
        <v>2781.44</v>
      </c>
      <c r="Z66">
        <v>2820.01</v>
      </c>
      <c r="AA66">
        <v>16.71</v>
      </c>
    </row>
    <row r="67" spans="1:27" x14ac:dyDescent="0.25">
      <c r="A67" t="s">
        <v>436</v>
      </c>
      <c r="B67" t="s">
        <v>76</v>
      </c>
      <c r="C67">
        <v>2656.8</v>
      </c>
      <c r="D67">
        <v>2796.74</v>
      </c>
      <c r="H67">
        <v>2784.72</v>
      </c>
      <c r="I67">
        <v>0</v>
      </c>
      <c r="J67" t="s">
        <v>620</v>
      </c>
      <c r="K67" t="s">
        <v>626</v>
      </c>
      <c r="M67" t="s">
        <v>301</v>
      </c>
      <c r="N67">
        <v>0</v>
      </c>
      <c r="O67">
        <v>2876.02</v>
      </c>
      <c r="P67">
        <v>33.880000000000003</v>
      </c>
      <c r="Q67">
        <v>0</v>
      </c>
      <c r="S67" t="s">
        <v>417</v>
      </c>
      <c r="T67">
        <v>2781.44</v>
      </c>
      <c r="U67">
        <v>2849.9</v>
      </c>
      <c r="V67">
        <v>29.67</v>
      </c>
      <c r="X67" t="s">
        <v>427</v>
      </c>
      <c r="Y67">
        <v>2774.88</v>
      </c>
      <c r="Z67">
        <v>2820</v>
      </c>
      <c r="AA67">
        <v>19.55</v>
      </c>
    </row>
    <row r="68" spans="1:27" x14ac:dyDescent="0.25">
      <c r="A68" t="s">
        <v>442</v>
      </c>
      <c r="B68" t="s">
        <v>77</v>
      </c>
      <c r="C68">
        <v>2653.52</v>
      </c>
      <c r="D68">
        <v>2796.75</v>
      </c>
      <c r="H68">
        <v>2806</v>
      </c>
      <c r="I68">
        <v>0</v>
      </c>
      <c r="J68" t="s">
        <v>620</v>
      </c>
      <c r="K68" t="s">
        <v>627</v>
      </c>
      <c r="M68" t="s">
        <v>302</v>
      </c>
      <c r="N68">
        <v>0</v>
      </c>
      <c r="O68">
        <v>2877.14</v>
      </c>
      <c r="P68">
        <v>40.049999999999997</v>
      </c>
      <c r="Q68">
        <v>0</v>
      </c>
      <c r="S68" t="s">
        <v>418</v>
      </c>
      <c r="T68">
        <v>2781.44</v>
      </c>
      <c r="U68">
        <v>2850.07</v>
      </c>
      <c r="V68">
        <v>29.74</v>
      </c>
      <c r="X68" t="s">
        <v>383</v>
      </c>
      <c r="Y68">
        <v>2771.6</v>
      </c>
      <c r="Z68">
        <v>2820.01</v>
      </c>
      <c r="AA68">
        <v>20.98</v>
      </c>
    </row>
    <row r="69" spans="1:27" x14ac:dyDescent="0.25">
      <c r="A69" t="s">
        <v>737</v>
      </c>
      <c r="B69" t="s">
        <v>677</v>
      </c>
      <c r="C69">
        <v>2650.24</v>
      </c>
      <c r="D69">
        <v>2797.21</v>
      </c>
      <c r="H69">
        <v>2798.89</v>
      </c>
      <c r="I69">
        <v>0</v>
      </c>
      <c r="J69" t="s">
        <v>620</v>
      </c>
      <c r="K69" t="s">
        <v>627</v>
      </c>
      <c r="M69" t="s">
        <v>303</v>
      </c>
      <c r="N69">
        <v>0</v>
      </c>
      <c r="O69">
        <v>2875.54</v>
      </c>
      <c r="P69">
        <v>36.51</v>
      </c>
      <c r="Q69">
        <v>0</v>
      </c>
      <c r="S69" t="s">
        <v>419</v>
      </c>
      <c r="T69">
        <v>2806</v>
      </c>
      <c r="U69">
        <v>2876.05</v>
      </c>
      <c r="V69">
        <v>30.35</v>
      </c>
      <c r="X69" t="s">
        <v>388</v>
      </c>
      <c r="Y69">
        <v>2765.04</v>
      </c>
      <c r="Z69">
        <v>2820.01</v>
      </c>
      <c r="AA69">
        <v>23.82</v>
      </c>
    </row>
    <row r="70" spans="1:27" x14ac:dyDescent="0.25">
      <c r="A70" t="s">
        <v>738</v>
      </c>
      <c r="B70" t="s">
        <v>678</v>
      </c>
      <c r="C70">
        <v>2663.36</v>
      </c>
      <c r="D70">
        <v>2797.35</v>
      </c>
      <c r="H70">
        <v>2804.19</v>
      </c>
      <c r="I70">
        <v>0</v>
      </c>
      <c r="J70" t="s">
        <v>620</v>
      </c>
      <c r="K70" t="s">
        <v>630</v>
      </c>
      <c r="M70" t="s">
        <v>304</v>
      </c>
      <c r="N70">
        <v>0</v>
      </c>
      <c r="O70">
        <v>2850.95</v>
      </c>
      <c r="P70">
        <v>25.86</v>
      </c>
      <c r="Q70">
        <v>0.01</v>
      </c>
      <c r="S70" t="s">
        <v>420</v>
      </c>
      <c r="T70">
        <v>2805.21</v>
      </c>
      <c r="U70">
        <v>2876.53</v>
      </c>
      <c r="V70">
        <v>30.9</v>
      </c>
      <c r="X70" t="s">
        <v>391</v>
      </c>
      <c r="Y70">
        <v>2765.04</v>
      </c>
      <c r="Z70">
        <v>2820.01</v>
      </c>
      <c r="AA70">
        <v>23.82</v>
      </c>
    </row>
    <row r="71" spans="1:27" x14ac:dyDescent="0.25">
      <c r="A71" t="s">
        <v>433</v>
      </c>
      <c r="B71" t="s">
        <v>78</v>
      </c>
      <c r="C71">
        <v>2666.64</v>
      </c>
      <c r="D71">
        <v>2797.82</v>
      </c>
      <c r="H71">
        <v>2804.19</v>
      </c>
      <c r="I71">
        <v>0</v>
      </c>
      <c r="J71" t="s">
        <v>620</v>
      </c>
      <c r="K71" t="s">
        <v>629</v>
      </c>
      <c r="M71" t="s">
        <v>305</v>
      </c>
      <c r="N71">
        <v>0</v>
      </c>
      <c r="O71">
        <v>2882.45</v>
      </c>
      <c r="P71">
        <v>40.93</v>
      </c>
      <c r="Q71">
        <v>0</v>
      </c>
      <c r="S71" t="s">
        <v>421</v>
      </c>
      <c r="T71">
        <v>2801.93</v>
      </c>
      <c r="U71">
        <v>2874.2</v>
      </c>
      <c r="V71">
        <v>31.32</v>
      </c>
      <c r="X71" t="s">
        <v>398</v>
      </c>
      <c r="Y71">
        <v>2761.76</v>
      </c>
      <c r="Z71">
        <v>2820.01</v>
      </c>
      <c r="AA71">
        <v>25.24</v>
      </c>
    </row>
    <row r="72" spans="1:27" x14ac:dyDescent="0.25">
      <c r="A72" t="s">
        <v>435</v>
      </c>
      <c r="B72" t="s">
        <v>79</v>
      </c>
      <c r="C72">
        <v>2666.64</v>
      </c>
      <c r="D72">
        <v>2797.84</v>
      </c>
      <c r="H72">
        <v>2806.2</v>
      </c>
      <c r="I72">
        <v>0</v>
      </c>
      <c r="J72" t="s">
        <v>620</v>
      </c>
      <c r="K72" t="s">
        <v>629</v>
      </c>
      <c r="M72" t="s">
        <v>306</v>
      </c>
      <c r="N72">
        <v>0</v>
      </c>
      <c r="O72">
        <v>2882.45</v>
      </c>
      <c r="P72">
        <v>36.659999999999997</v>
      </c>
      <c r="Q72">
        <v>0.01</v>
      </c>
      <c r="S72" t="s">
        <v>422</v>
      </c>
      <c r="T72">
        <v>2699.44</v>
      </c>
      <c r="U72">
        <v>2773.3</v>
      </c>
      <c r="V72">
        <v>32</v>
      </c>
      <c r="X72" t="s">
        <v>389</v>
      </c>
      <c r="Y72">
        <v>2761.76</v>
      </c>
      <c r="Z72">
        <v>2820.01</v>
      </c>
      <c r="AA72">
        <v>25.24</v>
      </c>
    </row>
    <row r="73" spans="1:27" x14ac:dyDescent="0.25">
      <c r="A73" t="s">
        <v>739</v>
      </c>
      <c r="B73" t="s">
        <v>679</v>
      </c>
      <c r="C73">
        <v>2666.64</v>
      </c>
      <c r="D73">
        <v>2798.3</v>
      </c>
      <c r="H73">
        <v>2810.37</v>
      </c>
      <c r="I73">
        <v>0</v>
      </c>
      <c r="J73" t="s">
        <v>620</v>
      </c>
      <c r="K73" t="s">
        <v>631</v>
      </c>
      <c r="M73" t="s">
        <v>307</v>
      </c>
      <c r="N73">
        <v>0</v>
      </c>
      <c r="O73">
        <v>2887.58</v>
      </c>
      <c r="P73">
        <v>38.880000000000003</v>
      </c>
      <c r="Q73">
        <v>0.01</v>
      </c>
      <c r="S73" t="s">
        <v>423</v>
      </c>
      <c r="T73">
        <v>2799.3</v>
      </c>
      <c r="U73">
        <v>2874.07</v>
      </c>
      <c r="V73">
        <v>32.4</v>
      </c>
      <c r="X73" t="s">
        <v>392</v>
      </c>
      <c r="Y73">
        <v>2758.48</v>
      </c>
      <c r="Z73">
        <v>2820.01</v>
      </c>
      <c r="AA73">
        <v>26.66</v>
      </c>
    </row>
    <row r="74" spans="1:27" x14ac:dyDescent="0.25">
      <c r="A74" t="s">
        <v>450</v>
      </c>
      <c r="B74" t="s">
        <v>80</v>
      </c>
      <c r="C74">
        <v>2656.8</v>
      </c>
      <c r="D74">
        <v>2798.75</v>
      </c>
      <c r="H74">
        <v>2806.95</v>
      </c>
      <c r="I74">
        <v>0</v>
      </c>
      <c r="J74" t="s">
        <v>620</v>
      </c>
      <c r="K74" t="s">
        <v>632</v>
      </c>
      <c r="M74" t="s">
        <v>308</v>
      </c>
      <c r="N74">
        <v>0</v>
      </c>
      <c r="O74">
        <v>2891.01</v>
      </c>
      <c r="P74">
        <v>37.53</v>
      </c>
      <c r="Q74">
        <v>0</v>
      </c>
      <c r="S74" t="s">
        <v>424</v>
      </c>
      <c r="T74">
        <v>2696.16</v>
      </c>
      <c r="U74">
        <v>2773.46</v>
      </c>
      <c r="V74">
        <v>33.49</v>
      </c>
      <c r="X74" t="s">
        <v>403</v>
      </c>
      <c r="Y74">
        <v>2735.52</v>
      </c>
      <c r="Z74">
        <v>2820.01</v>
      </c>
      <c r="AA74">
        <v>36.61</v>
      </c>
    </row>
    <row r="75" spans="1:27" x14ac:dyDescent="0.25">
      <c r="A75" t="s">
        <v>449</v>
      </c>
      <c r="B75" t="s">
        <v>81</v>
      </c>
      <c r="C75">
        <v>2660.08</v>
      </c>
      <c r="D75">
        <v>2798.77</v>
      </c>
      <c r="H75">
        <v>2806.95</v>
      </c>
      <c r="I75">
        <v>0</v>
      </c>
      <c r="J75" t="s">
        <v>620</v>
      </c>
      <c r="K75" t="s">
        <v>631</v>
      </c>
      <c r="M75" t="s">
        <v>309</v>
      </c>
      <c r="N75">
        <v>0</v>
      </c>
      <c r="O75">
        <v>2894.11</v>
      </c>
      <c r="P75">
        <v>40.29</v>
      </c>
      <c r="Q75">
        <v>0.01</v>
      </c>
      <c r="S75" t="s">
        <v>425</v>
      </c>
      <c r="T75">
        <v>2804.19</v>
      </c>
      <c r="U75">
        <v>2882.92</v>
      </c>
      <c r="V75">
        <v>34.11</v>
      </c>
      <c r="X75" t="s">
        <v>428</v>
      </c>
      <c r="Y75">
        <v>2601</v>
      </c>
      <c r="Z75">
        <v>2687.06</v>
      </c>
      <c r="AA75">
        <v>37.29</v>
      </c>
    </row>
    <row r="76" spans="1:27" x14ac:dyDescent="0.25">
      <c r="A76" t="s">
        <v>740</v>
      </c>
      <c r="B76" t="s">
        <v>680</v>
      </c>
      <c r="C76">
        <v>2676.48</v>
      </c>
      <c r="D76">
        <v>2799.24</v>
      </c>
      <c r="H76">
        <v>2812.2</v>
      </c>
      <c r="I76">
        <v>0</v>
      </c>
      <c r="J76" t="s">
        <v>620</v>
      </c>
      <c r="K76" t="s">
        <v>633</v>
      </c>
      <c r="M76" t="s">
        <v>310</v>
      </c>
      <c r="N76">
        <v>0</v>
      </c>
      <c r="O76">
        <v>2894.11</v>
      </c>
      <c r="P76">
        <v>38.869999999999997</v>
      </c>
      <c r="Q76">
        <v>0</v>
      </c>
      <c r="S76" t="s">
        <v>426</v>
      </c>
      <c r="T76">
        <v>2804.19</v>
      </c>
      <c r="U76">
        <v>2882.92</v>
      </c>
      <c r="V76">
        <v>34.119999999999997</v>
      </c>
      <c r="X76" t="s">
        <v>406</v>
      </c>
      <c r="Y76">
        <v>2732.24</v>
      </c>
      <c r="Z76">
        <v>2820.01</v>
      </c>
      <c r="AA76">
        <v>38.03</v>
      </c>
    </row>
    <row r="77" spans="1:27" x14ac:dyDescent="0.25">
      <c r="A77" t="s">
        <v>429</v>
      </c>
      <c r="B77" t="s">
        <v>82</v>
      </c>
      <c r="C77">
        <v>2683.04</v>
      </c>
      <c r="D77">
        <v>2799.71</v>
      </c>
      <c r="H77">
        <v>2797.84</v>
      </c>
      <c r="I77">
        <v>0</v>
      </c>
      <c r="J77" t="s">
        <v>620</v>
      </c>
      <c r="K77" t="s">
        <v>1</v>
      </c>
      <c r="M77" t="s">
        <v>311</v>
      </c>
      <c r="N77">
        <v>0</v>
      </c>
      <c r="O77">
        <v>2902.65</v>
      </c>
      <c r="P77">
        <v>38.31</v>
      </c>
      <c r="Q77">
        <v>0.01</v>
      </c>
      <c r="S77" t="s">
        <v>427</v>
      </c>
      <c r="T77">
        <v>2774.88</v>
      </c>
      <c r="U77">
        <v>2854.37</v>
      </c>
      <c r="V77">
        <v>34.44</v>
      </c>
      <c r="X77" t="s">
        <v>422</v>
      </c>
      <c r="Y77">
        <v>2699.44</v>
      </c>
      <c r="Z77">
        <v>2820.01</v>
      </c>
      <c r="AA77">
        <v>52.24</v>
      </c>
    </row>
    <row r="78" spans="1:27" x14ac:dyDescent="0.25">
      <c r="A78" t="s">
        <v>432</v>
      </c>
      <c r="B78" t="s">
        <v>83</v>
      </c>
      <c r="C78">
        <v>2679.76</v>
      </c>
      <c r="D78">
        <v>2799.71</v>
      </c>
      <c r="H78">
        <v>2813.46</v>
      </c>
      <c r="I78">
        <v>0</v>
      </c>
      <c r="J78" t="s">
        <v>620</v>
      </c>
      <c r="K78" t="s">
        <v>634</v>
      </c>
      <c r="M78" t="s">
        <v>312</v>
      </c>
      <c r="N78">
        <v>0</v>
      </c>
      <c r="O78">
        <v>2902.77</v>
      </c>
      <c r="P78">
        <v>45.47</v>
      </c>
      <c r="Q78">
        <v>0</v>
      </c>
      <c r="S78" t="s">
        <v>428</v>
      </c>
      <c r="T78">
        <v>2601</v>
      </c>
      <c r="U78">
        <v>2681.35</v>
      </c>
      <c r="V78">
        <v>34.81</v>
      </c>
      <c r="X78" t="s">
        <v>424</v>
      </c>
      <c r="Y78">
        <v>2696.16</v>
      </c>
      <c r="Z78">
        <v>2820.01</v>
      </c>
      <c r="AA78">
        <v>53.66</v>
      </c>
    </row>
    <row r="79" spans="1:27" x14ac:dyDescent="0.25">
      <c r="A79" t="s">
        <v>741</v>
      </c>
      <c r="B79" t="s">
        <v>681</v>
      </c>
      <c r="C79">
        <v>2683.04</v>
      </c>
      <c r="D79">
        <v>2800.18</v>
      </c>
      <c r="H79">
        <v>2813.46</v>
      </c>
      <c r="I79">
        <v>0</v>
      </c>
      <c r="J79" t="s">
        <v>620</v>
      </c>
      <c r="K79" t="s">
        <v>635</v>
      </c>
      <c r="M79" t="s">
        <v>313</v>
      </c>
      <c r="N79">
        <v>0</v>
      </c>
      <c r="O79">
        <v>2907.47</v>
      </c>
      <c r="P79">
        <v>41.82</v>
      </c>
      <c r="Q79">
        <v>0.01</v>
      </c>
      <c r="S79" t="s">
        <v>429</v>
      </c>
      <c r="T79">
        <v>2683.04</v>
      </c>
      <c r="U79">
        <v>2763.76</v>
      </c>
      <c r="V79">
        <v>34.979999999999997</v>
      </c>
      <c r="X79" t="s">
        <v>429</v>
      </c>
      <c r="Y79">
        <v>2683.04</v>
      </c>
      <c r="Z79">
        <v>2820.01</v>
      </c>
      <c r="AA79">
        <v>59.35</v>
      </c>
    </row>
    <row r="80" spans="1:27" x14ac:dyDescent="0.25">
      <c r="A80" t="s">
        <v>742</v>
      </c>
      <c r="B80" t="s">
        <v>682</v>
      </c>
      <c r="C80">
        <v>2689.6</v>
      </c>
      <c r="D80">
        <v>2800.32</v>
      </c>
      <c r="H80">
        <v>2813.46</v>
      </c>
      <c r="I80">
        <v>0</v>
      </c>
      <c r="J80" t="s">
        <v>620</v>
      </c>
      <c r="K80" t="s">
        <v>634</v>
      </c>
      <c r="M80" t="s">
        <v>318</v>
      </c>
      <c r="N80">
        <v>0</v>
      </c>
      <c r="O80">
        <v>2907.52</v>
      </c>
      <c r="P80">
        <v>40.42</v>
      </c>
      <c r="Q80">
        <v>0</v>
      </c>
      <c r="S80" t="s">
        <v>430</v>
      </c>
      <c r="T80">
        <v>2810.37</v>
      </c>
      <c r="U80">
        <v>2891.45</v>
      </c>
      <c r="V80">
        <v>35.130000000000003</v>
      </c>
      <c r="X80" t="s">
        <v>432</v>
      </c>
      <c r="Y80">
        <v>2679.76</v>
      </c>
      <c r="Z80">
        <v>2820.01</v>
      </c>
      <c r="AA80">
        <v>60.77</v>
      </c>
    </row>
    <row r="81" spans="1:27" x14ac:dyDescent="0.25">
      <c r="A81" t="s">
        <v>422</v>
      </c>
      <c r="B81" t="s">
        <v>84</v>
      </c>
      <c r="C81">
        <v>2699.44</v>
      </c>
      <c r="D81">
        <v>2800.8</v>
      </c>
      <c r="H81">
        <v>2813.46</v>
      </c>
      <c r="I81">
        <v>0</v>
      </c>
      <c r="J81" t="s">
        <v>620</v>
      </c>
      <c r="K81" t="s">
        <v>635</v>
      </c>
      <c r="L81" t="s">
        <v>314</v>
      </c>
      <c r="M81" t="s">
        <v>319</v>
      </c>
      <c r="N81">
        <v>0</v>
      </c>
      <c r="O81">
        <v>2907.48</v>
      </c>
      <c r="P81">
        <v>41.82</v>
      </c>
      <c r="Q81">
        <v>0.01</v>
      </c>
      <c r="S81" t="s">
        <v>431</v>
      </c>
      <c r="T81">
        <v>2806.2</v>
      </c>
      <c r="U81">
        <v>2888.03</v>
      </c>
      <c r="V81">
        <v>35.46</v>
      </c>
      <c r="X81" t="s">
        <v>435</v>
      </c>
      <c r="Y81">
        <v>2666.64</v>
      </c>
      <c r="Z81">
        <v>2820.01</v>
      </c>
      <c r="AA81">
        <v>66.45</v>
      </c>
    </row>
    <row r="82" spans="1:27" x14ac:dyDescent="0.25">
      <c r="A82" t="s">
        <v>424</v>
      </c>
      <c r="B82" t="s">
        <v>85</v>
      </c>
      <c r="C82">
        <v>2696.16</v>
      </c>
      <c r="D82">
        <v>2800.81</v>
      </c>
      <c r="H82">
        <v>2820.27</v>
      </c>
      <c r="I82">
        <v>0</v>
      </c>
      <c r="J82" t="s">
        <v>620</v>
      </c>
      <c r="K82" t="s">
        <v>636</v>
      </c>
      <c r="M82" t="s">
        <v>320</v>
      </c>
      <c r="N82">
        <v>0</v>
      </c>
      <c r="O82">
        <v>2907.48</v>
      </c>
      <c r="P82">
        <v>40.4</v>
      </c>
      <c r="Q82">
        <v>0</v>
      </c>
      <c r="S82" t="s">
        <v>432</v>
      </c>
      <c r="T82">
        <v>2679.76</v>
      </c>
      <c r="U82">
        <v>2763.93</v>
      </c>
      <c r="V82">
        <v>36.47</v>
      </c>
      <c r="X82" t="s">
        <v>433</v>
      </c>
      <c r="Y82">
        <v>2666.64</v>
      </c>
      <c r="Z82">
        <v>2820.01</v>
      </c>
      <c r="AA82">
        <v>66.45</v>
      </c>
    </row>
    <row r="83" spans="1:27" x14ac:dyDescent="0.25">
      <c r="A83" t="s">
        <v>743</v>
      </c>
      <c r="B83" t="s">
        <v>683</v>
      </c>
      <c r="C83">
        <v>2699.44</v>
      </c>
      <c r="D83">
        <v>2801.27</v>
      </c>
      <c r="H83">
        <v>2792.37</v>
      </c>
      <c r="I83">
        <v>0</v>
      </c>
      <c r="J83" t="s">
        <v>620</v>
      </c>
      <c r="K83" t="s">
        <v>624</v>
      </c>
      <c r="M83" t="s">
        <v>321</v>
      </c>
      <c r="N83">
        <v>0</v>
      </c>
      <c r="O83">
        <v>2910.36</v>
      </c>
      <c r="P83">
        <v>37.380000000000003</v>
      </c>
      <c r="Q83">
        <v>0</v>
      </c>
      <c r="R83" t="s">
        <v>316</v>
      </c>
      <c r="S83" t="s">
        <v>433</v>
      </c>
      <c r="T83">
        <v>2666.64</v>
      </c>
      <c r="U83">
        <v>2753.45</v>
      </c>
      <c r="V83">
        <v>37.619999999999997</v>
      </c>
      <c r="X83" t="s">
        <v>449</v>
      </c>
      <c r="Y83">
        <v>2660.08</v>
      </c>
      <c r="Z83">
        <v>2820.01</v>
      </c>
      <c r="AA83">
        <v>69.3</v>
      </c>
    </row>
    <row r="84" spans="1:27" x14ac:dyDescent="0.25">
      <c r="A84" t="s">
        <v>744</v>
      </c>
      <c r="B84" t="s">
        <v>684</v>
      </c>
      <c r="C84">
        <v>2719.12</v>
      </c>
      <c r="D84">
        <v>2801.39</v>
      </c>
      <c r="H84">
        <v>2601</v>
      </c>
      <c r="I84">
        <v>300</v>
      </c>
      <c r="J84">
        <v>4</v>
      </c>
      <c r="K84" t="s">
        <v>1</v>
      </c>
      <c r="M84" t="s">
        <v>322</v>
      </c>
      <c r="N84">
        <v>0</v>
      </c>
      <c r="O84">
        <v>2828.19</v>
      </c>
      <c r="P84">
        <v>20.25</v>
      </c>
      <c r="Q84">
        <v>0</v>
      </c>
      <c r="S84" t="s">
        <v>434</v>
      </c>
      <c r="T84">
        <v>2656.8</v>
      </c>
      <c r="U84">
        <v>2743.64</v>
      </c>
      <c r="V84">
        <v>37.630000000000003</v>
      </c>
      <c r="X84" t="s">
        <v>434</v>
      </c>
      <c r="Y84">
        <v>2656.8</v>
      </c>
      <c r="Z84">
        <v>2820.01</v>
      </c>
      <c r="AA84">
        <v>70.72</v>
      </c>
    </row>
    <row r="85" spans="1:27" x14ac:dyDescent="0.25">
      <c r="A85" t="s">
        <v>745</v>
      </c>
      <c r="B85" t="s">
        <v>685</v>
      </c>
      <c r="C85">
        <v>2725.68</v>
      </c>
      <c r="D85">
        <v>2801.49</v>
      </c>
      <c r="H85">
        <v>2601</v>
      </c>
      <c r="I85">
        <v>0</v>
      </c>
      <c r="J85" t="s">
        <v>620</v>
      </c>
      <c r="K85" t="s">
        <v>1</v>
      </c>
      <c r="M85" t="s">
        <v>323</v>
      </c>
      <c r="N85">
        <v>450</v>
      </c>
      <c r="O85">
        <v>2714.15</v>
      </c>
      <c r="P85">
        <v>49.03</v>
      </c>
      <c r="Q85">
        <v>59.31</v>
      </c>
      <c r="S85" t="s">
        <v>435</v>
      </c>
      <c r="T85">
        <v>2666.64</v>
      </c>
      <c r="U85">
        <v>2753.77</v>
      </c>
      <c r="V85">
        <v>37.75</v>
      </c>
      <c r="X85" t="s">
        <v>450</v>
      </c>
      <c r="Y85">
        <v>2656.8</v>
      </c>
      <c r="Z85">
        <v>2820.01</v>
      </c>
      <c r="AA85">
        <v>70.72</v>
      </c>
    </row>
    <row r="86" spans="1:27" x14ac:dyDescent="0.25">
      <c r="A86" t="s">
        <v>403</v>
      </c>
      <c r="B86" t="s">
        <v>86</v>
      </c>
      <c r="C86">
        <v>2735.52</v>
      </c>
      <c r="D86">
        <v>2801.97</v>
      </c>
      <c r="H86">
        <v>2604.3200000000002</v>
      </c>
      <c r="I86">
        <v>0</v>
      </c>
      <c r="J86" t="s">
        <v>620</v>
      </c>
      <c r="K86" t="s">
        <v>1</v>
      </c>
      <c r="M86" t="s">
        <v>324</v>
      </c>
      <c r="N86">
        <v>0</v>
      </c>
      <c r="O86">
        <v>2616.1</v>
      </c>
      <c r="P86">
        <v>6.54</v>
      </c>
      <c r="Q86">
        <v>59.31</v>
      </c>
      <c r="S86" t="s">
        <v>436</v>
      </c>
      <c r="T86">
        <v>2656.8</v>
      </c>
      <c r="U86">
        <v>2744.02</v>
      </c>
      <c r="V86">
        <v>37.79</v>
      </c>
      <c r="X86" t="s">
        <v>436</v>
      </c>
      <c r="Y86">
        <v>2656.8</v>
      </c>
      <c r="Z86">
        <v>2820.01</v>
      </c>
      <c r="AA86">
        <v>70.72</v>
      </c>
    </row>
    <row r="87" spans="1:27" x14ac:dyDescent="0.25">
      <c r="A87" t="s">
        <v>406</v>
      </c>
      <c r="B87" t="s">
        <v>87</v>
      </c>
      <c r="C87">
        <v>2732.24</v>
      </c>
      <c r="D87">
        <v>2801.98</v>
      </c>
      <c r="H87">
        <v>2601</v>
      </c>
      <c r="I87">
        <v>0</v>
      </c>
      <c r="J87" t="s">
        <v>620</v>
      </c>
      <c r="K87" t="s">
        <v>1</v>
      </c>
      <c r="M87">
        <v>1</v>
      </c>
      <c r="N87">
        <v>0</v>
      </c>
      <c r="O87">
        <v>2616.19</v>
      </c>
      <c r="P87">
        <v>5.14</v>
      </c>
      <c r="Q87">
        <v>51.23</v>
      </c>
      <c r="S87" t="s">
        <v>437</v>
      </c>
      <c r="T87">
        <v>2578.08</v>
      </c>
      <c r="U87">
        <v>2665.63</v>
      </c>
      <c r="V87">
        <v>37.94</v>
      </c>
      <c r="X87" t="s">
        <v>442</v>
      </c>
      <c r="Y87">
        <v>2653.52</v>
      </c>
      <c r="Z87">
        <v>2820.01</v>
      </c>
      <c r="AA87">
        <v>72.14</v>
      </c>
    </row>
    <row r="88" spans="1:27" x14ac:dyDescent="0.25">
      <c r="A88" t="s">
        <v>746</v>
      </c>
      <c r="B88" t="s">
        <v>686</v>
      </c>
      <c r="C88">
        <v>2725.68</v>
      </c>
      <c r="D88">
        <v>2802.45</v>
      </c>
      <c r="H88">
        <v>2791</v>
      </c>
      <c r="I88">
        <v>0</v>
      </c>
      <c r="J88" t="s">
        <v>620</v>
      </c>
      <c r="K88" t="s">
        <v>1</v>
      </c>
      <c r="M88" t="s">
        <v>325</v>
      </c>
      <c r="N88">
        <v>0</v>
      </c>
      <c r="O88">
        <v>2616.15</v>
      </c>
      <c r="P88">
        <v>6.56</v>
      </c>
      <c r="Q88">
        <v>55.64</v>
      </c>
      <c r="S88" t="s">
        <v>438</v>
      </c>
      <c r="T88">
        <v>2806.95</v>
      </c>
      <c r="U88">
        <v>2894.54</v>
      </c>
      <c r="V88">
        <v>37.950000000000003</v>
      </c>
      <c r="X88" t="s">
        <v>454</v>
      </c>
      <c r="Y88">
        <v>2630.56</v>
      </c>
      <c r="Z88">
        <v>2820.01</v>
      </c>
      <c r="AA88">
        <v>82.09</v>
      </c>
    </row>
    <row r="89" spans="1:27" x14ac:dyDescent="0.25">
      <c r="A89" t="s">
        <v>747</v>
      </c>
      <c r="B89" t="s">
        <v>687</v>
      </c>
      <c r="C89">
        <v>2738.8</v>
      </c>
      <c r="D89">
        <v>2802.55</v>
      </c>
      <c r="H89">
        <v>2558.4</v>
      </c>
      <c r="I89">
        <v>0</v>
      </c>
      <c r="J89" t="s">
        <v>620</v>
      </c>
      <c r="K89" t="s">
        <v>1</v>
      </c>
      <c r="M89" t="s">
        <v>326</v>
      </c>
      <c r="N89">
        <v>-154.05000000000001</v>
      </c>
      <c r="O89">
        <v>2330</v>
      </c>
      <c r="P89">
        <v>0</v>
      </c>
      <c r="Q89">
        <v>0</v>
      </c>
      <c r="S89" t="s">
        <v>439</v>
      </c>
      <c r="T89">
        <v>2806.95</v>
      </c>
      <c r="U89">
        <v>2894.54</v>
      </c>
      <c r="V89">
        <v>37.950000000000003</v>
      </c>
      <c r="X89" t="s">
        <v>453</v>
      </c>
      <c r="Y89">
        <v>2624</v>
      </c>
      <c r="Z89">
        <v>2820.01</v>
      </c>
      <c r="AA89">
        <v>84.93</v>
      </c>
    </row>
    <row r="90" spans="1:27" x14ac:dyDescent="0.25">
      <c r="A90" t="s">
        <v>748</v>
      </c>
      <c r="B90" t="s">
        <v>688</v>
      </c>
      <c r="C90">
        <v>2761.76</v>
      </c>
      <c r="D90">
        <v>2802.69</v>
      </c>
      <c r="H90">
        <v>2571.52</v>
      </c>
      <c r="I90">
        <v>0</v>
      </c>
      <c r="J90" t="s">
        <v>620</v>
      </c>
      <c r="K90" t="s">
        <v>1</v>
      </c>
      <c r="M90" t="s">
        <v>328</v>
      </c>
      <c r="N90">
        <v>-154.51</v>
      </c>
      <c r="O90">
        <v>2330</v>
      </c>
      <c r="P90">
        <v>0</v>
      </c>
      <c r="Q90">
        <v>0</v>
      </c>
      <c r="S90" t="s">
        <v>440</v>
      </c>
      <c r="T90">
        <v>2578.08</v>
      </c>
      <c r="U90">
        <v>2667.49</v>
      </c>
      <c r="V90">
        <v>38.74</v>
      </c>
      <c r="X90" t="s">
        <v>455</v>
      </c>
      <c r="Y90">
        <v>2614.16</v>
      </c>
      <c r="Z90">
        <v>2820.01</v>
      </c>
      <c r="AA90">
        <v>89.19</v>
      </c>
    </row>
    <row r="91" spans="1:27" x14ac:dyDescent="0.25">
      <c r="A91" t="s">
        <v>392</v>
      </c>
      <c r="B91" t="s">
        <v>88</v>
      </c>
      <c r="C91">
        <v>2758.48</v>
      </c>
      <c r="D91">
        <v>2803.16</v>
      </c>
      <c r="H91">
        <v>2568.2399999999998</v>
      </c>
      <c r="I91">
        <v>0</v>
      </c>
      <c r="J91" t="s">
        <v>620</v>
      </c>
      <c r="K91" t="s">
        <v>1</v>
      </c>
      <c r="M91" t="s">
        <v>329</v>
      </c>
      <c r="N91">
        <v>-163.63999999999999</v>
      </c>
      <c r="O91">
        <v>2330</v>
      </c>
      <c r="P91">
        <v>0</v>
      </c>
      <c r="Q91">
        <v>0</v>
      </c>
      <c r="S91" t="s">
        <v>441</v>
      </c>
      <c r="T91">
        <v>2820.27</v>
      </c>
      <c r="U91">
        <v>2910.74</v>
      </c>
      <c r="V91">
        <v>39.200000000000003</v>
      </c>
      <c r="X91" t="s">
        <v>456</v>
      </c>
      <c r="Y91">
        <v>2610.88</v>
      </c>
      <c r="Z91">
        <v>2820.01</v>
      </c>
      <c r="AA91">
        <v>90.62</v>
      </c>
    </row>
    <row r="92" spans="1:27" x14ac:dyDescent="0.25">
      <c r="A92" t="s">
        <v>389</v>
      </c>
      <c r="B92" t="s">
        <v>89</v>
      </c>
      <c r="C92">
        <v>2761.76</v>
      </c>
      <c r="D92">
        <v>2803.17</v>
      </c>
      <c r="H92">
        <v>2604.3200000000002</v>
      </c>
      <c r="I92">
        <v>0</v>
      </c>
      <c r="J92" t="s">
        <v>620</v>
      </c>
      <c r="K92" t="s">
        <v>1</v>
      </c>
      <c r="M92" t="s">
        <v>330</v>
      </c>
      <c r="N92">
        <v>-173.16</v>
      </c>
      <c r="O92">
        <v>2330</v>
      </c>
      <c r="P92">
        <v>0</v>
      </c>
      <c r="Q92">
        <v>0</v>
      </c>
      <c r="S92" t="s">
        <v>442</v>
      </c>
      <c r="T92">
        <v>2653.52</v>
      </c>
      <c r="U92">
        <v>2744.3</v>
      </c>
      <c r="V92">
        <v>39.340000000000003</v>
      </c>
      <c r="X92" t="s">
        <v>369</v>
      </c>
      <c r="Y92">
        <v>2610.7199999999998</v>
      </c>
      <c r="Z92">
        <v>2820.01</v>
      </c>
      <c r="AA92">
        <v>90.68</v>
      </c>
    </row>
    <row r="93" spans="1:27" x14ac:dyDescent="0.25">
      <c r="A93" t="s">
        <v>749</v>
      </c>
      <c r="B93" t="s">
        <v>689</v>
      </c>
      <c r="C93">
        <v>2768.32</v>
      </c>
      <c r="D93">
        <v>2803.65</v>
      </c>
      <c r="H93">
        <v>2574.8000000000002</v>
      </c>
      <c r="I93">
        <v>0</v>
      </c>
      <c r="J93" t="s">
        <v>620</v>
      </c>
      <c r="K93" t="s">
        <v>1</v>
      </c>
      <c r="M93" t="s">
        <v>331</v>
      </c>
      <c r="N93">
        <v>-174.17</v>
      </c>
      <c r="O93">
        <v>2330</v>
      </c>
      <c r="P93">
        <v>0</v>
      </c>
      <c r="Q93">
        <v>0</v>
      </c>
      <c r="S93" t="s">
        <v>443</v>
      </c>
      <c r="T93">
        <v>2812.2</v>
      </c>
      <c r="U93">
        <v>2903.06</v>
      </c>
      <c r="V93">
        <v>39.369999999999997</v>
      </c>
      <c r="X93" t="s">
        <v>377</v>
      </c>
      <c r="Y93">
        <v>2607.6</v>
      </c>
      <c r="Z93">
        <v>2820.01</v>
      </c>
      <c r="AA93">
        <v>92.04</v>
      </c>
    </row>
    <row r="94" spans="1:27" x14ac:dyDescent="0.25">
      <c r="A94" t="s">
        <v>388</v>
      </c>
      <c r="B94" t="s">
        <v>90</v>
      </c>
      <c r="C94">
        <v>2765.04</v>
      </c>
      <c r="D94">
        <v>2804.12</v>
      </c>
      <c r="H94">
        <v>2578.08</v>
      </c>
      <c r="I94">
        <v>0</v>
      </c>
      <c r="J94" t="s">
        <v>620</v>
      </c>
      <c r="K94" t="s">
        <v>1</v>
      </c>
      <c r="M94" t="s">
        <v>332</v>
      </c>
      <c r="N94">
        <v>-169.78</v>
      </c>
      <c r="O94">
        <v>2330</v>
      </c>
      <c r="P94">
        <v>0</v>
      </c>
      <c r="Q94">
        <v>0</v>
      </c>
      <c r="S94" t="s">
        <v>444</v>
      </c>
      <c r="T94">
        <v>2784.72</v>
      </c>
      <c r="U94">
        <v>2877.65</v>
      </c>
      <c r="V94">
        <v>40.270000000000003</v>
      </c>
      <c r="X94" t="s">
        <v>378</v>
      </c>
      <c r="Y94">
        <v>2604.3200000000002</v>
      </c>
      <c r="Z94">
        <v>2820.01</v>
      </c>
      <c r="AA94">
        <v>93.46</v>
      </c>
    </row>
    <row r="95" spans="1:27" x14ac:dyDescent="0.25">
      <c r="A95" t="s">
        <v>398</v>
      </c>
      <c r="B95" t="s">
        <v>91</v>
      </c>
      <c r="C95">
        <v>2761.76</v>
      </c>
      <c r="D95">
        <v>2804.22</v>
      </c>
      <c r="H95">
        <v>2564.96</v>
      </c>
      <c r="I95">
        <v>0</v>
      </c>
      <c r="J95" t="s">
        <v>620</v>
      </c>
      <c r="K95" t="s">
        <v>1</v>
      </c>
      <c r="M95" t="s">
        <v>333</v>
      </c>
      <c r="N95">
        <v>-164.81</v>
      </c>
      <c r="O95">
        <v>2330</v>
      </c>
      <c r="P95">
        <v>0</v>
      </c>
      <c r="Q95">
        <v>0</v>
      </c>
      <c r="S95" t="s">
        <v>445</v>
      </c>
      <c r="T95">
        <v>2813.46</v>
      </c>
      <c r="U95">
        <v>2907.86</v>
      </c>
      <c r="V95">
        <v>40.909999999999997</v>
      </c>
      <c r="X95" t="s">
        <v>370</v>
      </c>
      <c r="Y95">
        <v>2604.3200000000002</v>
      </c>
      <c r="Z95">
        <v>2820.01</v>
      </c>
      <c r="AA95">
        <v>93.46</v>
      </c>
    </row>
    <row r="96" spans="1:27" x14ac:dyDescent="0.25">
      <c r="A96" t="s">
        <v>391</v>
      </c>
      <c r="B96" t="s">
        <v>92</v>
      </c>
      <c r="C96">
        <v>2765.04</v>
      </c>
      <c r="D96">
        <v>2804.23</v>
      </c>
      <c r="H96">
        <v>2574.8000000000002</v>
      </c>
      <c r="I96">
        <v>0</v>
      </c>
      <c r="J96" t="s">
        <v>620</v>
      </c>
      <c r="K96" t="s">
        <v>1</v>
      </c>
      <c r="M96" t="s">
        <v>334</v>
      </c>
      <c r="N96">
        <v>-151.87</v>
      </c>
      <c r="O96">
        <v>2330</v>
      </c>
      <c r="P96">
        <v>0</v>
      </c>
      <c r="Q96">
        <v>0</v>
      </c>
      <c r="S96" t="s">
        <v>446</v>
      </c>
      <c r="T96">
        <v>2813.46</v>
      </c>
      <c r="U96">
        <v>2907.87</v>
      </c>
      <c r="V96">
        <v>40.909999999999997</v>
      </c>
      <c r="X96" t="s">
        <v>376</v>
      </c>
      <c r="Y96">
        <v>2604.3200000000002</v>
      </c>
      <c r="Z96">
        <v>2820.01</v>
      </c>
      <c r="AA96">
        <v>93.46</v>
      </c>
    </row>
    <row r="97" spans="1:27" x14ac:dyDescent="0.25">
      <c r="A97" t="s">
        <v>383</v>
      </c>
      <c r="B97" t="s">
        <v>93</v>
      </c>
      <c r="C97">
        <v>2771.6</v>
      </c>
      <c r="D97">
        <v>2804.27</v>
      </c>
      <c r="H97">
        <v>2558.4</v>
      </c>
      <c r="I97">
        <v>0</v>
      </c>
      <c r="J97" t="s">
        <v>620</v>
      </c>
      <c r="K97" t="s">
        <v>1</v>
      </c>
      <c r="M97" t="s">
        <v>335</v>
      </c>
      <c r="N97">
        <v>-140.34</v>
      </c>
      <c r="O97">
        <v>2330</v>
      </c>
      <c r="P97">
        <v>0</v>
      </c>
      <c r="Q97">
        <v>0</v>
      </c>
      <c r="R97" t="s">
        <v>327</v>
      </c>
      <c r="S97" t="s">
        <v>447</v>
      </c>
      <c r="T97">
        <v>2813.46</v>
      </c>
      <c r="U97">
        <v>2907.87</v>
      </c>
      <c r="V97">
        <v>40.909999999999997</v>
      </c>
      <c r="X97" t="s">
        <v>371</v>
      </c>
      <c r="Y97">
        <v>2604.3200000000002</v>
      </c>
      <c r="Z97">
        <v>2820.01</v>
      </c>
      <c r="AA97">
        <v>93.46</v>
      </c>
    </row>
    <row r="98" spans="1:27" x14ac:dyDescent="0.25">
      <c r="A98" t="s">
        <v>750</v>
      </c>
      <c r="B98" t="s">
        <v>690</v>
      </c>
      <c r="C98">
        <v>2768.32</v>
      </c>
      <c r="D98">
        <v>2804.75</v>
      </c>
      <c r="H98">
        <v>2568.2399999999998</v>
      </c>
      <c r="I98">
        <v>0</v>
      </c>
      <c r="J98" t="s">
        <v>620</v>
      </c>
      <c r="K98" t="s">
        <v>1</v>
      </c>
      <c r="M98" t="s">
        <v>336</v>
      </c>
      <c r="N98">
        <v>-137.44</v>
      </c>
      <c r="O98">
        <v>2330</v>
      </c>
      <c r="P98">
        <v>0</v>
      </c>
      <c r="Q98">
        <v>0</v>
      </c>
      <c r="R98" t="s">
        <v>327</v>
      </c>
      <c r="S98" t="s">
        <v>448</v>
      </c>
      <c r="T98">
        <v>2813.46</v>
      </c>
      <c r="U98">
        <v>2907.91</v>
      </c>
      <c r="V98">
        <v>40.92</v>
      </c>
      <c r="X98" t="s">
        <v>401</v>
      </c>
      <c r="Y98">
        <v>2591.1999999999998</v>
      </c>
      <c r="Z98">
        <v>2820.01</v>
      </c>
      <c r="AA98">
        <v>99.14</v>
      </c>
    </row>
    <row r="99" spans="1:27" x14ac:dyDescent="0.25">
      <c r="A99" t="s">
        <v>751</v>
      </c>
      <c r="B99" t="s">
        <v>691</v>
      </c>
      <c r="C99">
        <v>2755.2</v>
      </c>
      <c r="D99">
        <v>2804.85</v>
      </c>
      <c r="H99">
        <v>2568.2399999999998</v>
      </c>
      <c r="I99">
        <v>0</v>
      </c>
      <c r="J99" t="s">
        <v>620</v>
      </c>
      <c r="K99" t="s">
        <v>1</v>
      </c>
      <c r="M99" t="s">
        <v>337</v>
      </c>
      <c r="N99">
        <v>-135.69999999999999</v>
      </c>
      <c r="O99">
        <v>2330</v>
      </c>
      <c r="P99">
        <v>0</v>
      </c>
      <c r="Q99">
        <v>0</v>
      </c>
      <c r="R99" t="s">
        <v>327</v>
      </c>
      <c r="S99" t="s">
        <v>449</v>
      </c>
      <c r="T99">
        <v>2660.08</v>
      </c>
      <c r="U99">
        <v>2758.21</v>
      </c>
      <c r="V99">
        <v>42.52</v>
      </c>
      <c r="X99" t="s">
        <v>402</v>
      </c>
      <c r="Y99">
        <v>2587.92</v>
      </c>
      <c r="Z99">
        <v>2820.01</v>
      </c>
      <c r="AA99">
        <v>100.56</v>
      </c>
    </row>
    <row r="100" spans="1:27" x14ac:dyDescent="0.25">
      <c r="A100" t="s">
        <v>752</v>
      </c>
      <c r="B100" t="s">
        <v>692</v>
      </c>
      <c r="C100">
        <v>2761.76</v>
      </c>
      <c r="D100">
        <v>2804.96</v>
      </c>
      <c r="H100">
        <v>2571.52</v>
      </c>
      <c r="I100">
        <v>0</v>
      </c>
      <c r="J100" t="s">
        <v>620</v>
      </c>
      <c r="K100" t="s">
        <v>1</v>
      </c>
      <c r="M100" t="s">
        <v>338</v>
      </c>
      <c r="N100">
        <v>-145.65</v>
      </c>
      <c r="O100">
        <v>2330</v>
      </c>
      <c r="P100">
        <v>0</v>
      </c>
      <c r="Q100">
        <v>0</v>
      </c>
      <c r="R100" t="s">
        <v>327</v>
      </c>
      <c r="S100" t="s">
        <v>450</v>
      </c>
      <c r="T100">
        <v>2656.8</v>
      </c>
      <c r="U100">
        <v>2757.78</v>
      </c>
      <c r="V100">
        <v>43.75</v>
      </c>
      <c r="X100" t="s">
        <v>405</v>
      </c>
      <c r="Y100">
        <v>2587.92</v>
      </c>
      <c r="Z100">
        <v>2820.01</v>
      </c>
      <c r="AA100">
        <v>100.56</v>
      </c>
    </row>
    <row r="101" spans="1:27" x14ac:dyDescent="0.25">
      <c r="A101" t="s">
        <v>753</v>
      </c>
      <c r="B101" t="s">
        <v>693</v>
      </c>
      <c r="C101">
        <v>2774.88</v>
      </c>
      <c r="D101">
        <v>2805.07</v>
      </c>
      <c r="H101">
        <v>2568.2399999999998</v>
      </c>
      <c r="I101">
        <v>0</v>
      </c>
      <c r="J101" t="s">
        <v>620</v>
      </c>
      <c r="K101" t="s">
        <v>1</v>
      </c>
      <c r="M101" t="s">
        <v>339</v>
      </c>
      <c r="N101">
        <v>-147.55000000000001</v>
      </c>
      <c r="O101">
        <v>2330</v>
      </c>
      <c r="P101">
        <v>0</v>
      </c>
      <c r="Q101">
        <v>0</v>
      </c>
      <c r="R101" t="s">
        <v>327</v>
      </c>
      <c r="S101" t="s">
        <v>451</v>
      </c>
      <c r="T101">
        <v>2568.2399999999998</v>
      </c>
      <c r="U101">
        <v>2669.39</v>
      </c>
      <c r="V101">
        <v>43.83</v>
      </c>
      <c r="X101" t="s">
        <v>411</v>
      </c>
      <c r="Y101">
        <v>2581.36</v>
      </c>
      <c r="Z101">
        <v>2820.01</v>
      </c>
      <c r="AA101">
        <v>103.41</v>
      </c>
    </row>
    <row r="102" spans="1:27" x14ac:dyDescent="0.25">
      <c r="A102" t="s">
        <v>754</v>
      </c>
      <c r="B102" t="s">
        <v>694</v>
      </c>
      <c r="C102">
        <v>2771.6</v>
      </c>
      <c r="D102">
        <v>2805.18</v>
      </c>
      <c r="H102">
        <v>2584.64</v>
      </c>
      <c r="I102">
        <v>0</v>
      </c>
      <c r="J102" t="s">
        <v>620</v>
      </c>
      <c r="K102" t="s">
        <v>1</v>
      </c>
      <c r="M102" t="s">
        <v>340</v>
      </c>
      <c r="N102">
        <v>-154.71</v>
      </c>
      <c r="O102">
        <v>2330</v>
      </c>
      <c r="P102">
        <v>0</v>
      </c>
      <c r="Q102">
        <v>0</v>
      </c>
      <c r="R102" t="s">
        <v>327</v>
      </c>
      <c r="S102" t="s">
        <v>452</v>
      </c>
      <c r="T102">
        <v>2797.84</v>
      </c>
      <c r="U102">
        <v>2903.18</v>
      </c>
      <c r="V102">
        <v>45.64</v>
      </c>
      <c r="X102" t="s">
        <v>440</v>
      </c>
      <c r="Y102">
        <v>2578.08</v>
      </c>
      <c r="Z102">
        <v>2820.01</v>
      </c>
      <c r="AA102">
        <v>104.83</v>
      </c>
    </row>
    <row r="103" spans="1:27" x14ac:dyDescent="0.25">
      <c r="A103" t="s">
        <v>755</v>
      </c>
      <c r="B103" t="s">
        <v>695</v>
      </c>
      <c r="C103">
        <v>2774.88</v>
      </c>
      <c r="D103">
        <v>2805.27</v>
      </c>
      <c r="H103">
        <v>2584.64</v>
      </c>
      <c r="I103">
        <v>0</v>
      </c>
      <c r="J103" t="s">
        <v>620</v>
      </c>
      <c r="K103" t="s">
        <v>1</v>
      </c>
      <c r="M103" t="s">
        <v>341</v>
      </c>
      <c r="N103">
        <v>958.25</v>
      </c>
      <c r="O103">
        <v>2616.16</v>
      </c>
      <c r="P103">
        <v>6.57</v>
      </c>
      <c r="Q103">
        <v>55.64</v>
      </c>
      <c r="R103" t="s">
        <v>327</v>
      </c>
      <c r="S103" t="s">
        <v>453</v>
      </c>
      <c r="T103">
        <v>2624</v>
      </c>
      <c r="U103">
        <v>2729.53</v>
      </c>
      <c r="V103">
        <v>45.73</v>
      </c>
      <c r="X103" t="s">
        <v>437</v>
      </c>
      <c r="Y103">
        <v>2578.08</v>
      </c>
      <c r="Z103">
        <v>2820.01</v>
      </c>
      <c r="AA103">
        <v>104.83</v>
      </c>
    </row>
    <row r="104" spans="1:27" x14ac:dyDescent="0.25">
      <c r="A104" t="s">
        <v>756</v>
      </c>
      <c r="B104" t="s">
        <v>696</v>
      </c>
      <c r="C104">
        <v>2778.16</v>
      </c>
      <c r="D104">
        <v>2805.36</v>
      </c>
      <c r="H104">
        <v>2574.8000000000002</v>
      </c>
      <c r="I104">
        <v>0</v>
      </c>
      <c r="J104" t="s">
        <v>620</v>
      </c>
      <c r="K104" t="s">
        <v>1</v>
      </c>
      <c r="R104" t="s">
        <v>327</v>
      </c>
      <c r="S104" t="s">
        <v>454</v>
      </c>
      <c r="T104">
        <v>2630.56</v>
      </c>
      <c r="U104">
        <v>2736.63</v>
      </c>
      <c r="V104">
        <v>45.96</v>
      </c>
      <c r="X104" t="s">
        <v>413</v>
      </c>
      <c r="Y104">
        <v>2578.08</v>
      </c>
      <c r="Z104">
        <v>2820.01</v>
      </c>
      <c r="AA104">
        <v>104.83</v>
      </c>
    </row>
    <row r="105" spans="1:27" x14ac:dyDescent="0.25">
      <c r="A105" t="s">
        <v>757</v>
      </c>
      <c r="B105" t="s">
        <v>697</v>
      </c>
      <c r="C105">
        <v>2791.28</v>
      </c>
      <c r="D105">
        <v>2805.45</v>
      </c>
      <c r="H105">
        <v>2568.2399999999998</v>
      </c>
      <c r="I105">
        <v>0</v>
      </c>
      <c r="J105" t="s">
        <v>620</v>
      </c>
      <c r="K105" t="s">
        <v>1</v>
      </c>
      <c r="R105" t="s">
        <v>327</v>
      </c>
      <c r="S105" t="s">
        <v>455</v>
      </c>
      <c r="T105">
        <v>2614.16</v>
      </c>
      <c r="U105">
        <v>2723.67</v>
      </c>
      <c r="V105">
        <v>47.45</v>
      </c>
      <c r="X105" t="s">
        <v>416</v>
      </c>
      <c r="Y105">
        <v>2574.8000000000002</v>
      </c>
      <c r="Z105">
        <v>2820.01</v>
      </c>
      <c r="AA105">
        <v>106.25</v>
      </c>
    </row>
    <row r="106" spans="1:27" x14ac:dyDescent="0.25">
      <c r="A106" t="s">
        <v>390</v>
      </c>
      <c r="B106" t="s">
        <v>94</v>
      </c>
      <c r="C106">
        <v>2784.72</v>
      </c>
      <c r="D106">
        <v>2805.94</v>
      </c>
      <c r="H106">
        <v>2558.4</v>
      </c>
      <c r="I106">
        <v>0</v>
      </c>
      <c r="J106" t="s">
        <v>620</v>
      </c>
      <c r="K106" t="s">
        <v>1</v>
      </c>
      <c r="R106" t="s">
        <v>327</v>
      </c>
      <c r="S106" t="s">
        <v>456</v>
      </c>
      <c r="T106">
        <v>2610.88</v>
      </c>
      <c r="U106">
        <v>2723.32</v>
      </c>
      <c r="V106">
        <v>48.72</v>
      </c>
      <c r="X106" t="s">
        <v>457</v>
      </c>
      <c r="Y106">
        <v>2574.8000000000002</v>
      </c>
      <c r="Z106">
        <v>2820.01</v>
      </c>
      <c r="AA106">
        <v>106.25</v>
      </c>
    </row>
    <row r="107" spans="1:27" x14ac:dyDescent="0.25">
      <c r="A107" t="s">
        <v>386</v>
      </c>
      <c r="B107" t="s">
        <v>95</v>
      </c>
      <c r="C107">
        <v>2788</v>
      </c>
      <c r="D107">
        <v>2805.95</v>
      </c>
      <c r="H107">
        <v>2591.1999999999998</v>
      </c>
      <c r="I107">
        <v>0</v>
      </c>
      <c r="J107" t="s">
        <v>620</v>
      </c>
      <c r="K107" t="s">
        <v>1</v>
      </c>
      <c r="R107" t="s">
        <v>327</v>
      </c>
      <c r="S107" t="s">
        <v>457</v>
      </c>
      <c r="T107">
        <v>2574.8000000000002</v>
      </c>
      <c r="U107">
        <v>2691.74</v>
      </c>
      <c r="V107">
        <v>50.67</v>
      </c>
      <c r="X107" t="s">
        <v>458</v>
      </c>
      <c r="Y107">
        <v>2568.2399999999998</v>
      </c>
      <c r="Z107">
        <v>2820.01</v>
      </c>
      <c r="AA107">
        <v>109.09</v>
      </c>
    </row>
    <row r="108" spans="1:27" x14ac:dyDescent="0.25">
      <c r="A108" t="s">
        <v>393</v>
      </c>
      <c r="B108" t="s">
        <v>96</v>
      </c>
      <c r="C108">
        <v>2781.44</v>
      </c>
      <c r="D108">
        <v>2805.99</v>
      </c>
      <c r="H108">
        <v>2587.92</v>
      </c>
      <c r="I108">
        <v>0</v>
      </c>
      <c r="J108" t="s">
        <v>620</v>
      </c>
      <c r="K108" t="s">
        <v>1</v>
      </c>
      <c r="R108" t="s">
        <v>327</v>
      </c>
      <c r="S108" t="s">
        <v>458</v>
      </c>
      <c r="T108">
        <v>2568.2399999999998</v>
      </c>
      <c r="U108">
        <v>2689.93</v>
      </c>
      <c r="V108">
        <v>52.73</v>
      </c>
      <c r="X108" t="s">
        <v>451</v>
      </c>
      <c r="Y108">
        <v>2568.2399999999998</v>
      </c>
      <c r="Z108">
        <v>2820.01</v>
      </c>
      <c r="AA108">
        <v>109.09</v>
      </c>
    </row>
    <row r="109" spans="1:27" x14ac:dyDescent="0.25">
      <c r="A109" t="s">
        <v>394</v>
      </c>
      <c r="B109" t="s">
        <v>97</v>
      </c>
      <c r="C109">
        <v>2781.44</v>
      </c>
      <c r="D109">
        <v>2805.99</v>
      </c>
      <c r="H109">
        <v>2587.92</v>
      </c>
      <c r="I109">
        <v>0</v>
      </c>
      <c r="J109" t="s">
        <v>620</v>
      </c>
      <c r="K109" t="s">
        <v>1</v>
      </c>
      <c r="R109" t="s">
        <v>327</v>
      </c>
      <c r="S109" t="s">
        <v>459</v>
      </c>
      <c r="T109">
        <v>2561.6799999999998</v>
      </c>
      <c r="U109">
        <v>2694.03</v>
      </c>
      <c r="V109">
        <v>57.35</v>
      </c>
      <c r="X109" t="s">
        <v>459</v>
      </c>
      <c r="Y109">
        <v>2561.6799999999998</v>
      </c>
      <c r="Z109">
        <v>2820.01</v>
      </c>
      <c r="AA109">
        <v>111.93</v>
      </c>
    </row>
    <row r="110" spans="1:27" x14ac:dyDescent="0.25">
      <c r="A110" t="s">
        <v>395</v>
      </c>
      <c r="B110" t="s">
        <v>98</v>
      </c>
      <c r="C110">
        <v>2781.44</v>
      </c>
      <c r="D110">
        <v>2806</v>
      </c>
      <c r="H110">
        <v>2584.64</v>
      </c>
      <c r="I110">
        <v>0</v>
      </c>
      <c r="J110" t="s">
        <v>620</v>
      </c>
      <c r="K110" t="s">
        <v>1</v>
      </c>
      <c r="R110" t="s">
        <v>327</v>
      </c>
    </row>
    <row r="111" spans="1:27" x14ac:dyDescent="0.25">
      <c r="A111" t="s">
        <v>381</v>
      </c>
      <c r="B111" t="s">
        <v>345</v>
      </c>
      <c r="C111">
        <v>2791</v>
      </c>
      <c r="D111">
        <v>2806</v>
      </c>
      <c r="H111">
        <v>2597.7600000000002</v>
      </c>
      <c r="I111">
        <v>0</v>
      </c>
      <c r="J111" t="s">
        <v>620</v>
      </c>
      <c r="K111" t="s">
        <v>1</v>
      </c>
      <c r="R111" t="s">
        <v>342</v>
      </c>
    </row>
    <row r="112" spans="1:27" x14ac:dyDescent="0.25">
      <c r="A112" t="s">
        <v>396</v>
      </c>
      <c r="B112" t="s">
        <v>99</v>
      </c>
      <c r="C112">
        <v>2781.44</v>
      </c>
      <c r="D112">
        <v>2806.02</v>
      </c>
      <c r="H112">
        <v>2587.92</v>
      </c>
      <c r="I112">
        <v>0</v>
      </c>
      <c r="J112" t="s">
        <v>620</v>
      </c>
      <c r="K112" t="s">
        <v>1</v>
      </c>
      <c r="M112" t="s">
        <v>343</v>
      </c>
      <c r="N112">
        <v>808.47</v>
      </c>
      <c r="O112">
        <v>2616.11</v>
      </c>
      <c r="P112">
        <v>6.55</v>
      </c>
      <c r="Q112">
        <v>59.29</v>
      </c>
      <c r="R112" t="s">
        <v>342</v>
      </c>
    </row>
    <row r="113" spans="1:18" x14ac:dyDescent="0.25">
      <c r="A113" t="s">
        <v>698</v>
      </c>
      <c r="B113" t="s">
        <v>638</v>
      </c>
      <c r="C113">
        <v>2791</v>
      </c>
      <c r="D113">
        <v>2819.89</v>
      </c>
      <c r="H113">
        <v>2597.7600000000002</v>
      </c>
      <c r="I113">
        <v>0</v>
      </c>
      <c r="J113" t="s">
        <v>620</v>
      </c>
      <c r="K113" t="s">
        <v>1</v>
      </c>
      <c r="M113" t="s">
        <v>344</v>
      </c>
      <c r="N113">
        <v>-24.71</v>
      </c>
      <c r="O113">
        <v>2817.32</v>
      </c>
      <c r="P113">
        <v>11.4</v>
      </c>
      <c r="Q113">
        <v>9.74</v>
      </c>
      <c r="R113" t="s">
        <v>342</v>
      </c>
    </row>
    <row r="114" spans="1:18" x14ac:dyDescent="0.25">
      <c r="A114" t="s">
        <v>382</v>
      </c>
      <c r="B114" t="s">
        <v>344</v>
      </c>
      <c r="C114">
        <v>2791</v>
      </c>
      <c r="D114">
        <v>2820</v>
      </c>
      <c r="H114">
        <v>2594.48</v>
      </c>
      <c r="I114">
        <v>0</v>
      </c>
      <c r="J114" t="s">
        <v>620</v>
      </c>
      <c r="K114" t="s">
        <v>1</v>
      </c>
      <c r="M114" t="s">
        <v>345</v>
      </c>
      <c r="N114">
        <v>-24.62</v>
      </c>
      <c r="O114">
        <v>2817.2</v>
      </c>
      <c r="P114">
        <v>11.35</v>
      </c>
      <c r="Q114">
        <v>23.3</v>
      </c>
      <c r="R114" t="s">
        <v>342</v>
      </c>
    </row>
    <row r="115" spans="1:18" x14ac:dyDescent="0.25">
      <c r="A115" t="s">
        <v>380</v>
      </c>
      <c r="B115" t="s">
        <v>100</v>
      </c>
      <c r="C115">
        <v>2791.44</v>
      </c>
      <c r="D115">
        <v>2820</v>
      </c>
      <c r="H115">
        <v>2601.04</v>
      </c>
      <c r="I115">
        <v>0</v>
      </c>
      <c r="J115" t="s">
        <v>620</v>
      </c>
      <c r="K115" t="s">
        <v>1</v>
      </c>
    </row>
    <row r="116" spans="1:18" x14ac:dyDescent="0.25">
      <c r="A116" t="s">
        <v>379</v>
      </c>
      <c r="B116" t="s">
        <v>101</v>
      </c>
      <c r="C116">
        <v>2792.16</v>
      </c>
      <c r="D116">
        <v>2820</v>
      </c>
      <c r="H116">
        <v>2607.6</v>
      </c>
      <c r="I116">
        <v>0</v>
      </c>
      <c r="J116" t="s">
        <v>620</v>
      </c>
      <c r="K116" t="s">
        <v>1</v>
      </c>
    </row>
    <row r="117" spans="1:18" x14ac:dyDescent="0.25">
      <c r="A117" t="s">
        <v>384</v>
      </c>
      <c r="B117" t="s">
        <v>102</v>
      </c>
      <c r="C117">
        <v>2790.88</v>
      </c>
      <c r="D117">
        <v>2820</v>
      </c>
      <c r="H117">
        <v>2614.16</v>
      </c>
      <c r="I117">
        <v>0</v>
      </c>
      <c r="J117" t="s">
        <v>620</v>
      </c>
      <c r="K117" t="s">
        <v>1</v>
      </c>
    </row>
    <row r="118" spans="1:18" x14ac:dyDescent="0.25">
      <c r="A118" t="s">
        <v>385</v>
      </c>
      <c r="B118" t="s">
        <v>103</v>
      </c>
      <c r="C118">
        <v>2790.88</v>
      </c>
      <c r="D118">
        <v>2820</v>
      </c>
      <c r="H118">
        <v>2610.88</v>
      </c>
      <c r="I118">
        <v>0</v>
      </c>
      <c r="J118" t="s">
        <v>620</v>
      </c>
      <c r="K118" t="s">
        <v>1</v>
      </c>
    </row>
    <row r="119" spans="1:18" x14ac:dyDescent="0.25">
      <c r="A119" t="s">
        <v>387</v>
      </c>
      <c r="B119" t="s">
        <v>104</v>
      </c>
      <c r="C119">
        <v>2791.44</v>
      </c>
      <c r="D119">
        <v>2820</v>
      </c>
      <c r="H119">
        <v>2617.44</v>
      </c>
      <c r="I119">
        <v>0</v>
      </c>
      <c r="J119" t="s">
        <v>620</v>
      </c>
      <c r="K119" t="s">
        <v>1</v>
      </c>
    </row>
    <row r="120" spans="1:18" x14ac:dyDescent="0.25">
      <c r="A120" t="s">
        <v>399</v>
      </c>
      <c r="B120" t="s">
        <v>105</v>
      </c>
      <c r="C120">
        <v>2791.28</v>
      </c>
      <c r="D120">
        <v>2820</v>
      </c>
      <c r="H120">
        <v>2607.6</v>
      </c>
      <c r="I120">
        <v>0</v>
      </c>
      <c r="J120" t="s">
        <v>620</v>
      </c>
      <c r="K120" t="s">
        <v>1</v>
      </c>
    </row>
    <row r="121" spans="1:18" x14ac:dyDescent="0.25">
      <c r="A121" t="s">
        <v>400</v>
      </c>
      <c r="B121" t="s">
        <v>106</v>
      </c>
      <c r="C121">
        <v>2793.06</v>
      </c>
      <c r="D121">
        <v>2820</v>
      </c>
      <c r="H121">
        <v>2610.88</v>
      </c>
      <c r="I121">
        <v>0</v>
      </c>
      <c r="J121" t="s">
        <v>620</v>
      </c>
      <c r="K121" t="s">
        <v>1</v>
      </c>
    </row>
    <row r="122" spans="1:18" x14ac:dyDescent="0.25">
      <c r="A122" t="s">
        <v>404</v>
      </c>
      <c r="B122" t="s">
        <v>107</v>
      </c>
      <c r="C122">
        <v>2781.53</v>
      </c>
      <c r="D122">
        <v>2820</v>
      </c>
      <c r="H122">
        <v>2601.04</v>
      </c>
      <c r="I122">
        <v>0</v>
      </c>
      <c r="J122" t="s">
        <v>620</v>
      </c>
      <c r="K122" t="s">
        <v>1</v>
      </c>
    </row>
    <row r="123" spans="1:18" x14ac:dyDescent="0.25">
      <c r="A123" t="s">
        <v>407</v>
      </c>
      <c r="B123" t="s">
        <v>108</v>
      </c>
      <c r="C123">
        <v>2787.48</v>
      </c>
      <c r="D123">
        <v>2820</v>
      </c>
      <c r="H123">
        <v>2617.44</v>
      </c>
      <c r="I123">
        <v>0</v>
      </c>
      <c r="J123" t="s">
        <v>620</v>
      </c>
      <c r="K123" t="s">
        <v>1</v>
      </c>
    </row>
    <row r="124" spans="1:18" x14ac:dyDescent="0.25">
      <c r="A124" t="s">
        <v>408</v>
      </c>
      <c r="B124" t="s">
        <v>109</v>
      </c>
      <c r="C124">
        <v>2787.48</v>
      </c>
      <c r="D124">
        <v>2820</v>
      </c>
      <c r="H124">
        <v>2627.28</v>
      </c>
      <c r="I124">
        <v>0</v>
      </c>
      <c r="J124" t="s">
        <v>620</v>
      </c>
      <c r="K124" t="s">
        <v>1</v>
      </c>
    </row>
    <row r="125" spans="1:18" x14ac:dyDescent="0.25">
      <c r="A125" t="s">
        <v>409</v>
      </c>
      <c r="B125" t="s">
        <v>110</v>
      </c>
      <c r="C125">
        <v>2787.48</v>
      </c>
      <c r="D125">
        <v>2820</v>
      </c>
      <c r="H125">
        <v>2633.84</v>
      </c>
      <c r="I125">
        <v>0</v>
      </c>
      <c r="J125" t="s">
        <v>620</v>
      </c>
      <c r="K125" t="s">
        <v>1</v>
      </c>
    </row>
    <row r="126" spans="1:18" x14ac:dyDescent="0.25">
      <c r="A126" t="s">
        <v>414</v>
      </c>
      <c r="B126" t="s">
        <v>111</v>
      </c>
      <c r="C126">
        <v>2784.72</v>
      </c>
      <c r="D126">
        <v>2820</v>
      </c>
      <c r="H126">
        <v>2650.24</v>
      </c>
      <c r="I126">
        <v>0</v>
      </c>
      <c r="J126" t="s">
        <v>620</v>
      </c>
      <c r="K126" t="s">
        <v>1</v>
      </c>
    </row>
    <row r="127" spans="1:18" x14ac:dyDescent="0.25">
      <c r="A127" t="s">
        <v>415</v>
      </c>
      <c r="B127" t="s">
        <v>112</v>
      </c>
      <c r="C127">
        <v>2784.72</v>
      </c>
      <c r="D127">
        <v>2820</v>
      </c>
      <c r="H127">
        <v>2650.24</v>
      </c>
      <c r="I127">
        <v>0</v>
      </c>
      <c r="J127" t="s">
        <v>620</v>
      </c>
      <c r="K127" t="s">
        <v>1</v>
      </c>
    </row>
    <row r="128" spans="1:18" x14ac:dyDescent="0.25">
      <c r="A128" t="s">
        <v>417</v>
      </c>
      <c r="B128" t="s">
        <v>113</v>
      </c>
      <c r="C128">
        <v>2781.44</v>
      </c>
      <c r="D128">
        <v>2820</v>
      </c>
      <c r="H128">
        <v>2663.36</v>
      </c>
      <c r="I128">
        <v>0</v>
      </c>
      <c r="J128" t="s">
        <v>620</v>
      </c>
      <c r="K128" t="s">
        <v>1</v>
      </c>
    </row>
    <row r="129" spans="1:11" x14ac:dyDescent="0.25">
      <c r="A129" t="s">
        <v>418</v>
      </c>
      <c r="B129" t="s">
        <v>114</v>
      </c>
      <c r="C129">
        <v>2781.44</v>
      </c>
      <c r="D129">
        <v>2820</v>
      </c>
      <c r="H129">
        <v>2666.64</v>
      </c>
      <c r="I129">
        <v>0</v>
      </c>
      <c r="J129" t="s">
        <v>620</v>
      </c>
      <c r="K129" t="s">
        <v>1</v>
      </c>
    </row>
    <row r="130" spans="1:11" x14ac:dyDescent="0.25">
      <c r="A130" t="s">
        <v>412</v>
      </c>
      <c r="B130" t="s">
        <v>115</v>
      </c>
      <c r="C130">
        <v>2791.28</v>
      </c>
      <c r="D130">
        <v>2820</v>
      </c>
      <c r="H130">
        <v>2676.48</v>
      </c>
      <c r="I130">
        <v>0</v>
      </c>
      <c r="J130" t="s">
        <v>620</v>
      </c>
      <c r="K130" t="s">
        <v>1</v>
      </c>
    </row>
    <row r="131" spans="1:11" x14ac:dyDescent="0.25">
      <c r="A131" t="s">
        <v>427</v>
      </c>
      <c r="B131" t="s">
        <v>116</v>
      </c>
      <c r="C131">
        <v>2774.88</v>
      </c>
      <c r="D131">
        <v>2820</v>
      </c>
      <c r="H131">
        <v>2683.04</v>
      </c>
      <c r="I131">
        <v>0</v>
      </c>
      <c r="J131" t="s">
        <v>620</v>
      </c>
      <c r="K131" t="s">
        <v>1</v>
      </c>
    </row>
    <row r="132" spans="1:11" x14ac:dyDescent="0.25">
      <c r="A132" t="s">
        <v>423</v>
      </c>
      <c r="B132" t="s">
        <v>117</v>
      </c>
      <c r="C132">
        <v>2799.3</v>
      </c>
      <c r="D132">
        <v>2820</v>
      </c>
      <c r="H132">
        <v>2689.6</v>
      </c>
      <c r="I132">
        <v>0</v>
      </c>
      <c r="J132" t="s">
        <v>620</v>
      </c>
      <c r="K132" t="s">
        <v>1</v>
      </c>
    </row>
    <row r="133" spans="1:11" x14ac:dyDescent="0.25">
      <c r="A133" t="s">
        <v>421</v>
      </c>
      <c r="B133" t="s">
        <v>118</v>
      </c>
      <c r="C133">
        <v>2801.93</v>
      </c>
      <c r="D133">
        <v>2820</v>
      </c>
      <c r="H133">
        <v>2699.44</v>
      </c>
      <c r="I133">
        <v>0</v>
      </c>
      <c r="J133" t="s">
        <v>620</v>
      </c>
      <c r="K133" t="s">
        <v>1</v>
      </c>
    </row>
    <row r="134" spans="1:11" x14ac:dyDescent="0.25">
      <c r="A134" t="s">
        <v>420</v>
      </c>
      <c r="B134" t="s">
        <v>119</v>
      </c>
      <c r="C134">
        <v>2805.21</v>
      </c>
      <c r="D134">
        <v>2820</v>
      </c>
      <c r="H134">
        <v>2719.12</v>
      </c>
      <c r="I134">
        <v>0</v>
      </c>
      <c r="J134" t="s">
        <v>620</v>
      </c>
      <c r="K134" t="s">
        <v>1</v>
      </c>
    </row>
    <row r="135" spans="1:11" x14ac:dyDescent="0.25">
      <c r="A135" t="s">
        <v>444</v>
      </c>
      <c r="B135" t="s">
        <v>120</v>
      </c>
      <c r="C135">
        <v>2784.72</v>
      </c>
      <c r="D135">
        <v>2820</v>
      </c>
      <c r="H135">
        <v>2725.68</v>
      </c>
      <c r="I135">
        <v>0</v>
      </c>
      <c r="J135" t="s">
        <v>620</v>
      </c>
      <c r="K135" t="s">
        <v>1</v>
      </c>
    </row>
    <row r="136" spans="1:11" x14ac:dyDescent="0.25">
      <c r="A136" t="s">
        <v>419</v>
      </c>
      <c r="B136" t="s">
        <v>121</v>
      </c>
      <c r="C136">
        <v>2806</v>
      </c>
      <c r="D136">
        <v>2820</v>
      </c>
      <c r="H136">
        <v>2725.68</v>
      </c>
      <c r="I136">
        <v>0</v>
      </c>
      <c r="J136" t="s">
        <v>620</v>
      </c>
      <c r="K136" t="s">
        <v>1</v>
      </c>
    </row>
    <row r="137" spans="1:11" x14ac:dyDescent="0.25">
      <c r="A137" t="s">
        <v>410</v>
      </c>
      <c r="B137" t="s">
        <v>122</v>
      </c>
      <c r="C137">
        <v>2798.89</v>
      </c>
      <c r="D137">
        <v>2820</v>
      </c>
      <c r="H137">
        <v>2738.8</v>
      </c>
      <c r="I137">
        <v>0</v>
      </c>
      <c r="J137" t="s">
        <v>620</v>
      </c>
      <c r="K137" t="s">
        <v>1</v>
      </c>
    </row>
    <row r="138" spans="1:11" x14ac:dyDescent="0.25">
      <c r="A138" t="s">
        <v>426</v>
      </c>
      <c r="B138" t="s">
        <v>123</v>
      </c>
      <c r="C138">
        <v>2804.19</v>
      </c>
      <c r="D138">
        <v>2820</v>
      </c>
      <c r="H138">
        <v>2761.76</v>
      </c>
      <c r="I138">
        <v>0</v>
      </c>
      <c r="J138" t="s">
        <v>620</v>
      </c>
      <c r="K138" t="s">
        <v>1</v>
      </c>
    </row>
    <row r="139" spans="1:11" x14ac:dyDescent="0.25">
      <c r="A139" t="s">
        <v>425</v>
      </c>
      <c r="B139" t="s">
        <v>124</v>
      </c>
      <c r="C139">
        <v>2804.19</v>
      </c>
      <c r="D139">
        <v>2820</v>
      </c>
      <c r="H139">
        <v>2768.32</v>
      </c>
      <c r="I139">
        <v>0</v>
      </c>
      <c r="J139" t="s">
        <v>620</v>
      </c>
      <c r="K139" t="s">
        <v>1</v>
      </c>
    </row>
    <row r="140" spans="1:11" x14ac:dyDescent="0.25">
      <c r="A140" t="s">
        <v>431</v>
      </c>
      <c r="B140" t="s">
        <v>125</v>
      </c>
      <c r="C140">
        <v>2806.2</v>
      </c>
      <c r="D140">
        <v>2820</v>
      </c>
      <c r="H140">
        <v>2768.32</v>
      </c>
      <c r="I140">
        <v>0</v>
      </c>
      <c r="J140" t="s">
        <v>620</v>
      </c>
      <c r="K140" t="s">
        <v>1</v>
      </c>
    </row>
    <row r="141" spans="1:11" x14ac:dyDescent="0.25">
      <c r="A141" t="s">
        <v>430</v>
      </c>
      <c r="B141" t="s">
        <v>126</v>
      </c>
      <c r="C141">
        <v>2810.37</v>
      </c>
      <c r="D141">
        <v>2820</v>
      </c>
      <c r="H141">
        <v>2755.2</v>
      </c>
      <c r="I141">
        <v>0</v>
      </c>
      <c r="J141" t="s">
        <v>620</v>
      </c>
      <c r="K141" t="s">
        <v>1</v>
      </c>
    </row>
    <row r="142" spans="1:11" x14ac:dyDescent="0.25">
      <c r="A142" t="s">
        <v>438</v>
      </c>
      <c r="B142" t="s">
        <v>127</v>
      </c>
      <c r="C142">
        <v>2806.95</v>
      </c>
      <c r="D142">
        <v>2820</v>
      </c>
      <c r="H142">
        <v>2761.76</v>
      </c>
      <c r="I142">
        <v>0</v>
      </c>
      <c r="J142" t="s">
        <v>620</v>
      </c>
      <c r="K142" t="s">
        <v>1</v>
      </c>
    </row>
    <row r="143" spans="1:11" x14ac:dyDescent="0.25">
      <c r="A143" t="s">
        <v>439</v>
      </c>
      <c r="B143" t="s">
        <v>128</v>
      </c>
      <c r="C143">
        <v>2806.95</v>
      </c>
      <c r="D143">
        <v>2820</v>
      </c>
      <c r="H143">
        <v>2774.88</v>
      </c>
      <c r="I143">
        <v>0</v>
      </c>
      <c r="J143" t="s">
        <v>620</v>
      </c>
      <c r="K143" t="s">
        <v>1</v>
      </c>
    </row>
    <row r="144" spans="1:11" x14ac:dyDescent="0.25">
      <c r="A144" t="s">
        <v>443</v>
      </c>
      <c r="B144" t="s">
        <v>129</v>
      </c>
      <c r="C144">
        <v>2812.2</v>
      </c>
      <c r="D144">
        <v>2820</v>
      </c>
      <c r="H144">
        <v>2771.6</v>
      </c>
      <c r="I144">
        <v>0</v>
      </c>
      <c r="J144" t="s">
        <v>620</v>
      </c>
      <c r="K144" t="s">
        <v>1</v>
      </c>
    </row>
    <row r="145" spans="1:11" x14ac:dyDescent="0.25">
      <c r="A145" t="s">
        <v>452</v>
      </c>
      <c r="B145" t="s">
        <v>130</v>
      </c>
      <c r="C145">
        <v>2797.84</v>
      </c>
      <c r="D145">
        <v>2820</v>
      </c>
      <c r="H145">
        <v>2774.88</v>
      </c>
      <c r="I145">
        <v>0</v>
      </c>
      <c r="J145" t="s">
        <v>620</v>
      </c>
      <c r="K145" t="s">
        <v>1</v>
      </c>
    </row>
    <row r="146" spans="1:11" x14ac:dyDescent="0.25">
      <c r="A146" t="s">
        <v>445</v>
      </c>
      <c r="B146" t="s">
        <v>131</v>
      </c>
      <c r="C146">
        <v>2813.46</v>
      </c>
      <c r="D146">
        <v>2820</v>
      </c>
      <c r="H146">
        <v>2778.16</v>
      </c>
      <c r="I146">
        <v>0</v>
      </c>
      <c r="J146" t="s">
        <v>620</v>
      </c>
      <c r="K146" t="s">
        <v>1</v>
      </c>
    </row>
    <row r="147" spans="1:11" x14ac:dyDescent="0.25">
      <c r="A147" t="s">
        <v>448</v>
      </c>
      <c r="B147" t="s">
        <v>132</v>
      </c>
      <c r="C147">
        <v>2813.46</v>
      </c>
      <c r="D147">
        <v>2820</v>
      </c>
      <c r="H147">
        <v>2791.28</v>
      </c>
      <c r="I147">
        <v>0</v>
      </c>
      <c r="J147" t="s">
        <v>620</v>
      </c>
      <c r="K147" t="s">
        <v>1</v>
      </c>
    </row>
    <row r="148" spans="1:11" x14ac:dyDescent="0.25">
      <c r="A148" t="s">
        <v>446</v>
      </c>
      <c r="B148" t="s">
        <v>133</v>
      </c>
      <c r="C148">
        <v>2813.46</v>
      </c>
      <c r="D148">
        <v>2820</v>
      </c>
    </row>
    <row r="149" spans="1:11" x14ac:dyDescent="0.25">
      <c r="A149" t="s">
        <v>447</v>
      </c>
      <c r="B149" t="s">
        <v>134</v>
      </c>
      <c r="C149">
        <v>2813.46</v>
      </c>
      <c r="D149">
        <v>2820</v>
      </c>
    </row>
    <row r="150" spans="1:11" x14ac:dyDescent="0.25">
      <c r="A150" t="s">
        <v>441</v>
      </c>
      <c r="B150" t="s">
        <v>135</v>
      </c>
      <c r="C150">
        <v>2820.27</v>
      </c>
      <c r="D150">
        <v>2820</v>
      </c>
    </row>
    <row r="151" spans="1:11" x14ac:dyDescent="0.25">
      <c r="A151" t="s">
        <v>397</v>
      </c>
      <c r="B151" t="s">
        <v>136</v>
      </c>
      <c r="C151">
        <v>2792.37</v>
      </c>
      <c r="D151">
        <v>2820</v>
      </c>
    </row>
    <row r="167" spans="1:4" x14ac:dyDescent="0.25">
      <c r="A167" t="s">
        <v>361</v>
      </c>
      <c r="C167">
        <v>2330</v>
      </c>
      <c r="D167">
        <v>2330</v>
      </c>
    </row>
    <row r="168" spans="1:4" x14ac:dyDescent="0.25">
      <c r="A168" t="s">
        <v>362</v>
      </c>
      <c r="C168">
        <v>2330</v>
      </c>
      <c r="D168">
        <v>2330</v>
      </c>
    </row>
    <row r="169" spans="1:4" x14ac:dyDescent="0.25">
      <c r="A169" t="s">
        <v>363</v>
      </c>
      <c r="C169">
        <v>2330</v>
      </c>
      <c r="D169">
        <v>2330</v>
      </c>
    </row>
    <row r="170" spans="1:4" x14ac:dyDescent="0.25">
      <c r="A170" t="s">
        <v>364</v>
      </c>
      <c r="C170">
        <v>2330</v>
      </c>
      <c r="D170">
        <v>2330</v>
      </c>
    </row>
    <row r="171" spans="1:4" x14ac:dyDescent="0.25">
      <c r="A171" t="s">
        <v>365</v>
      </c>
      <c r="C171">
        <v>2330</v>
      </c>
      <c r="D171">
        <v>2330</v>
      </c>
    </row>
    <row r="172" spans="1:4" x14ac:dyDescent="0.25">
      <c r="A172" t="s">
        <v>360</v>
      </c>
      <c r="C172">
        <v>2330</v>
      </c>
      <c r="D172">
        <v>2330</v>
      </c>
    </row>
    <row r="173" spans="1:4" x14ac:dyDescent="0.25">
      <c r="A173" t="s">
        <v>355</v>
      </c>
      <c r="C173">
        <v>2330</v>
      </c>
      <c r="D173">
        <v>2330</v>
      </c>
    </row>
    <row r="174" spans="1:4" x14ac:dyDescent="0.25">
      <c r="A174" t="s">
        <v>356</v>
      </c>
      <c r="C174">
        <v>2330</v>
      </c>
      <c r="D174">
        <v>2330</v>
      </c>
    </row>
    <row r="175" spans="1:4" x14ac:dyDescent="0.25">
      <c r="A175" t="s">
        <v>357</v>
      </c>
      <c r="C175">
        <v>2330</v>
      </c>
      <c r="D175">
        <v>2330</v>
      </c>
    </row>
    <row r="176" spans="1:4" x14ac:dyDescent="0.25">
      <c r="A176" t="s">
        <v>358</v>
      </c>
      <c r="C176">
        <v>2330</v>
      </c>
      <c r="D176">
        <v>2330</v>
      </c>
    </row>
    <row r="177" spans="1:4" x14ac:dyDescent="0.25">
      <c r="A177" t="s">
        <v>359</v>
      </c>
      <c r="C177">
        <v>2330</v>
      </c>
      <c r="D177">
        <v>2330</v>
      </c>
    </row>
    <row r="178" spans="1:4" x14ac:dyDescent="0.25">
      <c r="A178" t="s">
        <v>366</v>
      </c>
      <c r="C178">
        <v>2330</v>
      </c>
      <c r="D178">
        <v>2330</v>
      </c>
    </row>
    <row r="179" spans="1:4" x14ac:dyDescent="0.25">
      <c r="A179" t="s">
        <v>367</v>
      </c>
      <c r="C179">
        <v>2330</v>
      </c>
      <c r="D179">
        <v>2330</v>
      </c>
    </row>
    <row r="180" spans="1:4" x14ac:dyDescent="0.25">
      <c r="A180" t="s">
        <v>368</v>
      </c>
      <c r="C180">
        <v>2330</v>
      </c>
      <c r="D180">
        <v>2330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"/>
  <sheetViews>
    <sheetView topLeftCell="A82" workbookViewId="0">
      <selection activeCell="L2" sqref="L2"/>
    </sheetView>
  </sheetViews>
  <sheetFormatPr defaultRowHeight="15" x14ac:dyDescent="0.25"/>
  <sheetData>
    <row r="1" spans="1:21" x14ac:dyDescent="0.25">
      <c r="B1" t="s">
        <v>140</v>
      </c>
      <c r="C1" t="s">
        <v>141</v>
      </c>
      <c r="D1" t="s">
        <v>142</v>
      </c>
      <c r="E1" t="s">
        <v>143</v>
      </c>
      <c r="F1" t="s">
        <v>144</v>
      </c>
      <c r="I1" t="s">
        <v>211</v>
      </c>
      <c r="J1" t="s">
        <v>212</v>
      </c>
      <c r="K1" t="s">
        <v>213</v>
      </c>
      <c r="L1" t="s">
        <v>214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U1" t="s">
        <v>215</v>
      </c>
    </row>
    <row r="2" spans="1:21" x14ac:dyDescent="0.25">
      <c r="A2" t="s">
        <v>54</v>
      </c>
      <c r="B2">
        <v>2604.3200000000002</v>
      </c>
      <c r="C2">
        <v>0</v>
      </c>
      <c r="D2" t="s">
        <v>620</v>
      </c>
      <c r="E2" t="s">
        <v>1</v>
      </c>
      <c r="F2">
        <v>0</v>
      </c>
      <c r="I2">
        <v>1</v>
      </c>
      <c r="J2" t="s">
        <v>145</v>
      </c>
      <c r="K2" t="s">
        <v>146</v>
      </c>
      <c r="L2">
        <v>103.75</v>
      </c>
      <c r="M2">
        <v>135</v>
      </c>
      <c r="N2">
        <v>0</v>
      </c>
      <c r="O2">
        <v>0</v>
      </c>
      <c r="P2">
        <v>0</v>
      </c>
      <c r="Q2">
        <v>0</v>
      </c>
      <c r="R2" t="s">
        <v>147</v>
      </c>
      <c r="S2" t="s">
        <v>1</v>
      </c>
      <c r="U2">
        <v>17.43</v>
      </c>
    </row>
    <row r="3" spans="1:21" x14ac:dyDescent="0.25">
      <c r="A3" t="s">
        <v>55</v>
      </c>
      <c r="B3">
        <v>2604.3200000000002</v>
      </c>
      <c r="C3">
        <v>0</v>
      </c>
      <c r="D3" t="s">
        <v>620</v>
      </c>
      <c r="E3" t="s">
        <v>1</v>
      </c>
      <c r="F3">
        <v>0</v>
      </c>
      <c r="I3">
        <v>2</v>
      </c>
      <c r="J3" t="s">
        <v>146</v>
      </c>
      <c r="K3" t="s">
        <v>148</v>
      </c>
      <c r="L3">
        <v>63.44</v>
      </c>
      <c r="M3">
        <v>135</v>
      </c>
      <c r="N3">
        <v>0</v>
      </c>
      <c r="O3">
        <v>0</v>
      </c>
      <c r="P3">
        <v>0</v>
      </c>
      <c r="Q3">
        <v>0</v>
      </c>
      <c r="R3" t="s">
        <v>147</v>
      </c>
      <c r="S3" t="s">
        <v>1</v>
      </c>
      <c r="U3">
        <v>17.43</v>
      </c>
    </row>
    <row r="4" spans="1:21" x14ac:dyDescent="0.25">
      <c r="A4" t="s">
        <v>56</v>
      </c>
      <c r="B4">
        <v>2610.7199999999998</v>
      </c>
      <c r="C4">
        <v>0</v>
      </c>
      <c r="D4" t="s">
        <v>620</v>
      </c>
      <c r="E4" t="s">
        <v>621</v>
      </c>
      <c r="F4">
        <v>0</v>
      </c>
      <c r="I4">
        <v>3</v>
      </c>
      <c r="J4" t="s">
        <v>148</v>
      </c>
      <c r="K4" t="s">
        <v>149</v>
      </c>
      <c r="L4">
        <v>543.04</v>
      </c>
      <c r="M4">
        <v>135</v>
      </c>
      <c r="N4">
        <v>0</v>
      </c>
      <c r="O4">
        <v>0</v>
      </c>
      <c r="P4">
        <v>0</v>
      </c>
      <c r="Q4">
        <v>0</v>
      </c>
      <c r="R4" t="s">
        <v>147</v>
      </c>
      <c r="S4" t="s">
        <v>1</v>
      </c>
      <c r="U4">
        <v>17.43</v>
      </c>
    </row>
    <row r="5" spans="1:21" x14ac:dyDescent="0.25">
      <c r="A5" t="s">
        <v>57</v>
      </c>
      <c r="B5">
        <v>2607.6</v>
      </c>
      <c r="C5">
        <v>0</v>
      </c>
      <c r="D5" t="s">
        <v>620</v>
      </c>
      <c r="E5" t="s">
        <v>1</v>
      </c>
      <c r="F5">
        <v>0</v>
      </c>
      <c r="I5">
        <v>4</v>
      </c>
      <c r="J5" t="s">
        <v>149</v>
      </c>
      <c r="K5" t="s">
        <v>150</v>
      </c>
      <c r="L5">
        <v>141.37</v>
      </c>
      <c r="M5">
        <v>130</v>
      </c>
      <c r="N5">
        <v>0</v>
      </c>
      <c r="O5">
        <v>0</v>
      </c>
      <c r="P5">
        <v>0</v>
      </c>
      <c r="Q5">
        <v>0</v>
      </c>
      <c r="R5" t="s">
        <v>147</v>
      </c>
      <c r="S5" t="s">
        <v>1</v>
      </c>
      <c r="U5">
        <v>17.43</v>
      </c>
    </row>
    <row r="6" spans="1:21" x14ac:dyDescent="0.25">
      <c r="A6" t="s">
        <v>58</v>
      </c>
      <c r="B6">
        <v>2604.3200000000002</v>
      </c>
      <c r="C6">
        <v>0</v>
      </c>
      <c r="D6" t="s">
        <v>620</v>
      </c>
      <c r="E6" t="s">
        <v>1</v>
      </c>
      <c r="F6">
        <v>0</v>
      </c>
      <c r="I6">
        <v>5</v>
      </c>
      <c r="J6" t="s">
        <v>150</v>
      </c>
      <c r="K6" t="s">
        <v>151</v>
      </c>
      <c r="L6">
        <v>12253.62</v>
      </c>
      <c r="M6">
        <v>130</v>
      </c>
      <c r="N6">
        <v>0</v>
      </c>
      <c r="O6">
        <v>0</v>
      </c>
      <c r="P6">
        <v>0</v>
      </c>
      <c r="Q6">
        <v>0</v>
      </c>
      <c r="R6" t="s">
        <v>147</v>
      </c>
      <c r="S6" t="s">
        <v>1</v>
      </c>
      <c r="U6">
        <v>17.43</v>
      </c>
    </row>
    <row r="7" spans="1:21" x14ac:dyDescent="0.25">
      <c r="A7" t="s">
        <v>59</v>
      </c>
      <c r="B7">
        <v>2587.92</v>
      </c>
      <c r="C7">
        <v>0</v>
      </c>
      <c r="D7" t="s">
        <v>620</v>
      </c>
      <c r="E7" t="s">
        <v>1</v>
      </c>
      <c r="F7">
        <v>0</v>
      </c>
      <c r="I7">
        <v>6</v>
      </c>
      <c r="J7" t="s">
        <v>151</v>
      </c>
      <c r="K7" t="s">
        <v>152</v>
      </c>
      <c r="L7">
        <v>555.5</v>
      </c>
      <c r="M7">
        <v>130</v>
      </c>
      <c r="N7">
        <v>0</v>
      </c>
      <c r="O7">
        <v>0</v>
      </c>
      <c r="P7">
        <v>0</v>
      </c>
      <c r="Q7">
        <v>0</v>
      </c>
      <c r="R7" t="s">
        <v>147</v>
      </c>
      <c r="S7" t="s">
        <v>1</v>
      </c>
      <c r="U7">
        <v>17.43</v>
      </c>
    </row>
    <row r="8" spans="1:21" x14ac:dyDescent="0.25">
      <c r="A8" t="s">
        <v>60</v>
      </c>
      <c r="B8">
        <v>2591.1999999999998</v>
      </c>
      <c r="C8">
        <v>0</v>
      </c>
      <c r="D8" t="s">
        <v>620</v>
      </c>
      <c r="E8" t="s">
        <v>1</v>
      </c>
      <c r="F8">
        <v>0</v>
      </c>
      <c r="I8">
        <v>7</v>
      </c>
      <c r="J8" t="s">
        <v>152</v>
      </c>
      <c r="K8" t="s">
        <v>153</v>
      </c>
      <c r="L8">
        <v>158.26</v>
      </c>
      <c r="M8">
        <v>130</v>
      </c>
      <c r="N8">
        <v>0</v>
      </c>
      <c r="O8">
        <v>0</v>
      </c>
      <c r="P8">
        <v>0</v>
      </c>
      <c r="Q8">
        <v>0</v>
      </c>
      <c r="R8" t="s">
        <v>147</v>
      </c>
      <c r="S8" t="s">
        <v>1</v>
      </c>
      <c r="U8">
        <v>17.43</v>
      </c>
    </row>
    <row r="9" spans="1:21" x14ac:dyDescent="0.25">
      <c r="A9" t="s">
        <v>61</v>
      </c>
      <c r="B9">
        <v>2587.92</v>
      </c>
      <c r="C9">
        <v>0</v>
      </c>
      <c r="D9" t="s">
        <v>620</v>
      </c>
      <c r="E9" t="s">
        <v>1</v>
      </c>
      <c r="F9">
        <v>0</v>
      </c>
      <c r="I9">
        <v>8</v>
      </c>
      <c r="J9" t="s">
        <v>153</v>
      </c>
      <c r="K9" t="s">
        <v>154</v>
      </c>
      <c r="L9">
        <v>1255.29</v>
      </c>
      <c r="M9">
        <v>130</v>
      </c>
      <c r="N9">
        <v>0</v>
      </c>
      <c r="O9">
        <v>0</v>
      </c>
      <c r="P9">
        <v>0</v>
      </c>
      <c r="Q9">
        <v>0</v>
      </c>
      <c r="R9" t="s">
        <v>147</v>
      </c>
      <c r="S9" t="s">
        <v>1</v>
      </c>
      <c r="U9">
        <v>17.43</v>
      </c>
    </row>
    <row r="10" spans="1:21" x14ac:dyDescent="0.25">
      <c r="A10" t="s">
        <v>62</v>
      </c>
      <c r="B10">
        <v>2578.08</v>
      </c>
      <c r="C10">
        <v>0</v>
      </c>
      <c r="D10" t="s">
        <v>620</v>
      </c>
      <c r="E10" t="s">
        <v>1</v>
      </c>
      <c r="F10">
        <v>0</v>
      </c>
      <c r="I10">
        <v>9</v>
      </c>
      <c r="J10" t="s">
        <v>154</v>
      </c>
      <c r="K10" t="s">
        <v>155</v>
      </c>
      <c r="L10">
        <v>2098.64</v>
      </c>
      <c r="M10">
        <v>130</v>
      </c>
      <c r="N10">
        <v>0</v>
      </c>
      <c r="O10">
        <v>0</v>
      </c>
      <c r="P10">
        <v>0</v>
      </c>
      <c r="Q10">
        <v>0</v>
      </c>
      <c r="R10" t="s">
        <v>147</v>
      </c>
      <c r="S10" t="s">
        <v>1</v>
      </c>
      <c r="U10">
        <v>17.43</v>
      </c>
    </row>
    <row r="11" spans="1:21" x14ac:dyDescent="0.25">
      <c r="A11" t="s">
        <v>63</v>
      </c>
      <c r="B11">
        <v>2581.36</v>
      </c>
      <c r="C11">
        <v>0</v>
      </c>
      <c r="D11" t="s">
        <v>620</v>
      </c>
      <c r="E11" t="s">
        <v>1</v>
      </c>
      <c r="F11">
        <v>0</v>
      </c>
      <c r="I11">
        <v>10</v>
      </c>
      <c r="J11" t="s">
        <v>155</v>
      </c>
      <c r="K11" t="s">
        <v>156</v>
      </c>
      <c r="L11">
        <v>180.96</v>
      </c>
      <c r="M11">
        <v>130</v>
      </c>
      <c r="N11">
        <v>0</v>
      </c>
      <c r="O11">
        <v>0</v>
      </c>
      <c r="P11">
        <v>0</v>
      </c>
      <c r="Q11">
        <v>0</v>
      </c>
      <c r="R11" t="s">
        <v>147</v>
      </c>
      <c r="S11" t="s">
        <v>1</v>
      </c>
      <c r="U11">
        <v>17.43</v>
      </c>
    </row>
    <row r="12" spans="1:21" x14ac:dyDescent="0.25">
      <c r="A12" t="s">
        <v>64</v>
      </c>
      <c r="B12">
        <v>2574.8000000000002</v>
      </c>
      <c r="C12">
        <v>0</v>
      </c>
      <c r="D12" t="s">
        <v>620</v>
      </c>
      <c r="E12" t="s">
        <v>1</v>
      </c>
      <c r="F12">
        <v>0</v>
      </c>
      <c r="I12">
        <v>11</v>
      </c>
      <c r="J12" t="s">
        <v>156</v>
      </c>
      <c r="K12" t="s">
        <v>157</v>
      </c>
      <c r="L12">
        <v>5143.43</v>
      </c>
      <c r="M12">
        <v>130</v>
      </c>
      <c r="N12">
        <v>0</v>
      </c>
      <c r="O12">
        <v>0</v>
      </c>
      <c r="P12">
        <v>0</v>
      </c>
      <c r="Q12">
        <v>0</v>
      </c>
      <c r="R12" t="s">
        <v>147</v>
      </c>
      <c r="S12" t="s">
        <v>1</v>
      </c>
      <c r="U12">
        <v>17.43</v>
      </c>
    </row>
    <row r="13" spans="1:21" x14ac:dyDescent="0.25">
      <c r="A13" t="s">
        <v>65</v>
      </c>
      <c r="B13">
        <v>2578.08</v>
      </c>
      <c r="C13">
        <v>0</v>
      </c>
      <c r="D13" t="s">
        <v>620</v>
      </c>
      <c r="E13" t="s">
        <v>1</v>
      </c>
      <c r="F13">
        <v>0</v>
      </c>
      <c r="I13">
        <v>12</v>
      </c>
      <c r="J13" t="s">
        <v>157</v>
      </c>
      <c r="K13" t="s">
        <v>158</v>
      </c>
      <c r="L13">
        <v>154.09</v>
      </c>
      <c r="M13">
        <v>130</v>
      </c>
      <c r="N13">
        <v>0</v>
      </c>
      <c r="O13">
        <v>0</v>
      </c>
      <c r="P13">
        <v>0</v>
      </c>
      <c r="Q13">
        <v>0</v>
      </c>
      <c r="R13" t="s">
        <v>147</v>
      </c>
      <c r="S13" t="s">
        <v>1</v>
      </c>
      <c r="U13">
        <v>17.43</v>
      </c>
    </row>
    <row r="14" spans="1:21" x14ac:dyDescent="0.25">
      <c r="A14" t="s">
        <v>66</v>
      </c>
      <c r="B14">
        <v>2578.08</v>
      </c>
      <c r="C14">
        <v>0</v>
      </c>
      <c r="D14" t="s">
        <v>620</v>
      </c>
      <c r="E14" t="s">
        <v>1</v>
      </c>
      <c r="F14">
        <v>0</v>
      </c>
      <c r="I14">
        <v>13</v>
      </c>
      <c r="J14" t="s">
        <v>158</v>
      </c>
      <c r="K14" t="s">
        <v>159</v>
      </c>
      <c r="L14">
        <v>5444.28</v>
      </c>
      <c r="M14">
        <v>130</v>
      </c>
      <c r="N14">
        <v>0</v>
      </c>
      <c r="O14">
        <v>0</v>
      </c>
      <c r="P14">
        <v>0</v>
      </c>
      <c r="Q14">
        <v>0</v>
      </c>
      <c r="R14" t="s">
        <v>147</v>
      </c>
      <c r="S14" t="s">
        <v>1</v>
      </c>
      <c r="U14">
        <v>17.43</v>
      </c>
    </row>
    <row r="15" spans="1:21" x14ac:dyDescent="0.25">
      <c r="A15" t="s">
        <v>67</v>
      </c>
      <c r="B15">
        <v>2568.2399999999998</v>
      </c>
      <c r="C15">
        <v>0</v>
      </c>
      <c r="D15" t="s">
        <v>620</v>
      </c>
      <c r="E15" t="s">
        <v>1</v>
      </c>
      <c r="F15">
        <v>0</v>
      </c>
      <c r="I15">
        <v>14</v>
      </c>
      <c r="J15" t="s">
        <v>159</v>
      </c>
      <c r="K15" t="s">
        <v>160</v>
      </c>
      <c r="L15">
        <v>86.43</v>
      </c>
      <c r="M15">
        <v>130</v>
      </c>
      <c r="N15">
        <v>0</v>
      </c>
      <c r="O15">
        <v>0</v>
      </c>
      <c r="P15">
        <v>0</v>
      </c>
      <c r="Q15">
        <v>0</v>
      </c>
      <c r="R15" t="s">
        <v>147</v>
      </c>
      <c r="S15" t="s">
        <v>1</v>
      </c>
      <c r="U15">
        <v>17.43</v>
      </c>
    </row>
    <row r="16" spans="1:21" x14ac:dyDescent="0.25">
      <c r="A16" t="s">
        <v>68</v>
      </c>
      <c r="B16">
        <v>2568.2399999999998</v>
      </c>
      <c r="C16">
        <v>0</v>
      </c>
      <c r="D16" t="s">
        <v>620</v>
      </c>
      <c r="E16" t="s">
        <v>1</v>
      </c>
      <c r="F16">
        <v>0</v>
      </c>
      <c r="I16">
        <v>15</v>
      </c>
      <c r="J16" t="s">
        <v>160</v>
      </c>
      <c r="K16" t="s">
        <v>161</v>
      </c>
      <c r="L16">
        <v>5079.74</v>
      </c>
      <c r="M16">
        <v>130</v>
      </c>
      <c r="N16">
        <v>0</v>
      </c>
      <c r="O16">
        <v>0</v>
      </c>
      <c r="P16">
        <v>0</v>
      </c>
      <c r="Q16">
        <v>0</v>
      </c>
      <c r="R16" t="s">
        <v>147</v>
      </c>
      <c r="S16" t="s">
        <v>1</v>
      </c>
      <c r="U16">
        <v>17.43</v>
      </c>
    </row>
    <row r="17" spans="1:21" x14ac:dyDescent="0.25">
      <c r="A17" t="s">
        <v>69</v>
      </c>
      <c r="B17">
        <v>2574.8000000000002</v>
      </c>
      <c r="C17">
        <v>0</v>
      </c>
      <c r="D17" t="s">
        <v>620</v>
      </c>
      <c r="E17" t="s">
        <v>1</v>
      </c>
      <c r="F17">
        <v>0</v>
      </c>
      <c r="I17">
        <v>16</v>
      </c>
      <c r="J17" t="s">
        <v>161</v>
      </c>
      <c r="K17" t="s">
        <v>162</v>
      </c>
      <c r="L17">
        <v>95.38</v>
      </c>
      <c r="M17">
        <v>130</v>
      </c>
      <c r="N17">
        <v>0</v>
      </c>
      <c r="O17">
        <v>0</v>
      </c>
      <c r="P17">
        <v>0</v>
      </c>
      <c r="Q17">
        <v>0</v>
      </c>
      <c r="R17" t="s">
        <v>147</v>
      </c>
      <c r="S17" t="s">
        <v>1</v>
      </c>
      <c r="U17">
        <v>17.43</v>
      </c>
    </row>
    <row r="18" spans="1:21" x14ac:dyDescent="0.25">
      <c r="A18" t="s">
        <v>70</v>
      </c>
      <c r="B18">
        <v>2561.6799999999998</v>
      </c>
      <c r="C18">
        <v>0</v>
      </c>
      <c r="D18" t="s">
        <v>620</v>
      </c>
      <c r="E18" t="s">
        <v>1</v>
      </c>
      <c r="F18">
        <v>0</v>
      </c>
      <c r="I18">
        <v>17</v>
      </c>
      <c r="J18" t="s">
        <v>162</v>
      </c>
      <c r="K18" t="s">
        <v>163</v>
      </c>
      <c r="L18">
        <v>3006.91</v>
      </c>
      <c r="M18">
        <v>130</v>
      </c>
      <c r="N18">
        <v>0</v>
      </c>
      <c r="O18">
        <v>0</v>
      </c>
      <c r="P18">
        <v>0</v>
      </c>
      <c r="Q18">
        <v>0</v>
      </c>
      <c r="R18" t="s">
        <v>147</v>
      </c>
      <c r="S18" t="s">
        <v>1</v>
      </c>
      <c r="U18">
        <v>17.43</v>
      </c>
    </row>
    <row r="19" spans="1:21" x14ac:dyDescent="0.25">
      <c r="A19" t="s">
        <v>71</v>
      </c>
      <c r="B19">
        <v>2610.88</v>
      </c>
      <c r="C19">
        <v>0</v>
      </c>
      <c r="D19" t="s">
        <v>620</v>
      </c>
      <c r="E19" t="s">
        <v>1</v>
      </c>
      <c r="F19">
        <v>0</v>
      </c>
      <c r="I19">
        <v>18</v>
      </c>
      <c r="J19" t="s">
        <v>163</v>
      </c>
      <c r="K19" t="s">
        <v>164</v>
      </c>
      <c r="L19">
        <v>235.9</v>
      </c>
      <c r="M19">
        <v>130</v>
      </c>
      <c r="N19">
        <v>0</v>
      </c>
      <c r="O19">
        <v>0</v>
      </c>
      <c r="P19">
        <v>0</v>
      </c>
      <c r="Q19">
        <v>0</v>
      </c>
      <c r="R19" t="s">
        <v>147</v>
      </c>
      <c r="S19" t="s">
        <v>1</v>
      </c>
      <c r="U19">
        <v>17.43</v>
      </c>
    </row>
    <row r="20" spans="1:21" x14ac:dyDescent="0.25">
      <c r="A20" t="s">
        <v>72</v>
      </c>
      <c r="B20">
        <v>2614.16</v>
      </c>
      <c r="C20">
        <v>0</v>
      </c>
      <c r="D20" t="s">
        <v>620</v>
      </c>
      <c r="E20" t="s">
        <v>1</v>
      </c>
      <c r="F20">
        <v>0</v>
      </c>
      <c r="I20">
        <v>19</v>
      </c>
      <c r="J20" t="s">
        <v>164</v>
      </c>
      <c r="K20" t="s">
        <v>165</v>
      </c>
      <c r="L20">
        <v>2175.36</v>
      </c>
      <c r="M20">
        <v>130</v>
      </c>
      <c r="N20">
        <v>0</v>
      </c>
      <c r="O20">
        <v>0</v>
      </c>
      <c r="P20">
        <v>0</v>
      </c>
      <c r="Q20">
        <v>0</v>
      </c>
      <c r="R20" t="s">
        <v>147</v>
      </c>
      <c r="S20" t="s">
        <v>1</v>
      </c>
      <c r="U20">
        <v>17.43</v>
      </c>
    </row>
    <row r="21" spans="1:21" x14ac:dyDescent="0.25">
      <c r="A21" t="s">
        <v>73</v>
      </c>
      <c r="B21">
        <v>2624</v>
      </c>
      <c r="C21">
        <v>0</v>
      </c>
      <c r="D21" t="s">
        <v>620</v>
      </c>
      <c r="E21" t="s">
        <v>1</v>
      </c>
      <c r="F21">
        <v>0</v>
      </c>
      <c r="I21">
        <v>20</v>
      </c>
      <c r="J21" t="s">
        <v>165</v>
      </c>
      <c r="K21" t="s">
        <v>166</v>
      </c>
      <c r="L21">
        <v>172.13</v>
      </c>
      <c r="M21">
        <v>130</v>
      </c>
      <c r="N21">
        <v>0</v>
      </c>
      <c r="O21">
        <v>0</v>
      </c>
      <c r="P21">
        <v>0</v>
      </c>
      <c r="Q21">
        <v>0</v>
      </c>
      <c r="R21" t="s">
        <v>147</v>
      </c>
      <c r="S21" t="s">
        <v>1</v>
      </c>
      <c r="U21">
        <v>17.43</v>
      </c>
    </row>
    <row r="22" spans="1:21" x14ac:dyDescent="0.25">
      <c r="A22" t="s">
        <v>74</v>
      </c>
      <c r="B22">
        <v>2630.56</v>
      </c>
      <c r="C22">
        <v>0</v>
      </c>
      <c r="D22" t="s">
        <v>620</v>
      </c>
      <c r="E22" t="s">
        <v>1</v>
      </c>
      <c r="F22">
        <v>0</v>
      </c>
      <c r="I22">
        <v>21</v>
      </c>
      <c r="J22" t="s">
        <v>166</v>
      </c>
      <c r="K22" t="s">
        <v>167</v>
      </c>
      <c r="L22">
        <v>4964.6099999999997</v>
      </c>
      <c r="M22">
        <v>130</v>
      </c>
      <c r="N22">
        <v>0</v>
      </c>
      <c r="O22">
        <v>0</v>
      </c>
      <c r="P22">
        <v>0</v>
      </c>
      <c r="Q22">
        <v>0</v>
      </c>
      <c r="R22" t="s">
        <v>147</v>
      </c>
      <c r="S22" t="s">
        <v>1</v>
      </c>
      <c r="U22">
        <v>17.43</v>
      </c>
    </row>
    <row r="23" spans="1:21" x14ac:dyDescent="0.25">
      <c r="A23" t="s">
        <v>75</v>
      </c>
      <c r="B23">
        <v>2656.8</v>
      </c>
      <c r="C23">
        <v>0</v>
      </c>
      <c r="D23" t="s">
        <v>620</v>
      </c>
      <c r="E23" t="s">
        <v>1</v>
      </c>
      <c r="F23">
        <v>0</v>
      </c>
      <c r="I23">
        <v>22</v>
      </c>
      <c r="J23" t="s">
        <v>167</v>
      </c>
      <c r="K23" t="s">
        <v>168</v>
      </c>
      <c r="L23">
        <v>154.06</v>
      </c>
      <c r="M23">
        <v>130</v>
      </c>
      <c r="N23">
        <v>0</v>
      </c>
      <c r="O23">
        <v>0</v>
      </c>
      <c r="P23">
        <v>0</v>
      </c>
      <c r="Q23">
        <v>0</v>
      </c>
      <c r="R23" t="s">
        <v>147</v>
      </c>
      <c r="S23" t="s">
        <v>1</v>
      </c>
      <c r="U23">
        <v>17.43</v>
      </c>
    </row>
    <row r="24" spans="1:21" x14ac:dyDescent="0.25">
      <c r="A24" t="s">
        <v>76</v>
      </c>
      <c r="B24">
        <v>2656.8</v>
      </c>
      <c r="C24">
        <v>0</v>
      </c>
      <c r="D24" t="s">
        <v>620</v>
      </c>
      <c r="E24" t="s">
        <v>1</v>
      </c>
      <c r="F24">
        <v>0</v>
      </c>
      <c r="I24">
        <v>23</v>
      </c>
      <c r="J24" t="s">
        <v>168</v>
      </c>
      <c r="K24" t="s">
        <v>169</v>
      </c>
      <c r="L24">
        <v>204.7</v>
      </c>
      <c r="M24">
        <v>130</v>
      </c>
      <c r="N24">
        <v>0</v>
      </c>
      <c r="O24">
        <v>0</v>
      </c>
      <c r="P24">
        <v>0</v>
      </c>
      <c r="Q24">
        <v>0</v>
      </c>
      <c r="R24" t="s">
        <v>147</v>
      </c>
      <c r="S24" t="s">
        <v>1</v>
      </c>
      <c r="U24">
        <v>17.43</v>
      </c>
    </row>
    <row r="25" spans="1:21" x14ac:dyDescent="0.25">
      <c r="A25" t="s">
        <v>77</v>
      </c>
      <c r="B25">
        <v>2653.52</v>
      </c>
      <c r="C25">
        <v>0</v>
      </c>
      <c r="D25" t="s">
        <v>620</v>
      </c>
      <c r="E25" t="s">
        <v>1</v>
      </c>
      <c r="F25">
        <v>0</v>
      </c>
      <c r="I25">
        <v>24</v>
      </c>
      <c r="J25" t="s">
        <v>169</v>
      </c>
      <c r="K25" t="s">
        <v>170</v>
      </c>
      <c r="L25">
        <v>3800.44</v>
      </c>
      <c r="M25">
        <v>130</v>
      </c>
      <c r="N25">
        <v>0</v>
      </c>
      <c r="O25">
        <v>0</v>
      </c>
      <c r="P25">
        <v>0</v>
      </c>
      <c r="Q25">
        <v>0</v>
      </c>
      <c r="R25" t="s">
        <v>147</v>
      </c>
      <c r="S25" t="s">
        <v>1</v>
      </c>
      <c r="U25">
        <v>17.43</v>
      </c>
    </row>
    <row r="26" spans="1:21" x14ac:dyDescent="0.25">
      <c r="A26" t="s">
        <v>78</v>
      </c>
      <c r="B26">
        <v>2666.64</v>
      </c>
      <c r="C26">
        <v>0</v>
      </c>
      <c r="D26" t="s">
        <v>620</v>
      </c>
      <c r="E26" t="s">
        <v>1</v>
      </c>
      <c r="F26">
        <v>0</v>
      </c>
      <c r="I26">
        <v>25</v>
      </c>
      <c r="J26" t="s">
        <v>170</v>
      </c>
      <c r="K26" t="s">
        <v>171</v>
      </c>
      <c r="L26">
        <v>3851.41</v>
      </c>
      <c r="M26">
        <v>130</v>
      </c>
      <c r="N26">
        <v>0</v>
      </c>
      <c r="O26">
        <v>0</v>
      </c>
      <c r="P26">
        <v>0</v>
      </c>
      <c r="Q26">
        <v>0</v>
      </c>
      <c r="R26" t="s">
        <v>147</v>
      </c>
      <c r="S26" t="s">
        <v>1</v>
      </c>
      <c r="U26">
        <v>17.43</v>
      </c>
    </row>
    <row r="27" spans="1:21" x14ac:dyDescent="0.25">
      <c r="A27" t="s">
        <v>79</v>
      </c>
      <c r="B27">
        <v>2666.64</v>
      </c>
      <c r="C27">
        <v>0</v>
      </c>
      <c r="D27" t="s">
        <v>620</v>
      </c>
      <c r="E27" t="s">
        <v>1</v>
      </c>
      <c r="F27">
        <v>0</v>
      </c>
      <c r="I27">
        <v>26</v>
      </c>
      <c r="J27" t="s">
        <v>171</v>
      </c>
      <c r="K27" t="s">
        <v>172</v>
      </c>
      <c r="L27">
        <v>3178.39</v>
      </c>
      <c r="M27">
        <v>130</v>
      </c>
      <c r="N27">
        <v>0</v>
      </c>
      <c r="O27">
        <v>0</v>
      </c>
      <c r="P27">
        <v>0</v>
      </c>
      <c r="Q27">
        <v>0</v>
      </c>
      <c r="R27" t="s">
        <v>147</v>
      </c>
      <c r="S27" t="s">
        <v>1</v>
      </c>
      <c r="U27">
        <v>17.43</v>
      </c>
    </row>
    <row r="28" spans="1:21" x14ac:dyDescent="0.25">
      <c r="A28" t="s">
        <v>80</v>
      </c>
      <c r="B28">
        <v>2656.8</v>
      </c>
      <c r="C28">
        <v>0</v>
      </c>
      <c r="D28" t="s">
        <v>620</v>
      </c>
      <c r="E28" t="s">
        <v>1</v>
      </c>
      <c r="F28">
        <v>0</v>
      </c>
      <c r="I28">
        <v>27</v>
      </c>
      <c r="J28" t="s">
        <v>172</v>
      </c>
      <c r="K28" t="s">
        <v>173</v>
      </c>
      <c r="L28">
        <v>190.21</v>
      </c>
      <c r="M28">
        <v>130</v>
      </c>
      <c r="N28">
        <v>0</v>
      </c>
      <c r="O28">
        <v>0</v>
      </c>
      <c r="P28">
        <v>0</v>
      </c>
      <c r="Q28">
        <v>0</v>
      </c>
      <c r="R28" t="s">
        <v>147</v>
      </c>
      <c r="S28" t="s">
        <v>1</v>
      </c>
      <c r="U28">
        <v>17.43</v>
      </c>
    </row>
    <row r="29" spans="1:21" x14ac:dyDescent="0.25">
      <c r="A29" t="s">
        <v>81</v>
      </c>
      <c r="B29">
        <v>2660.08</v>
      </c>
      <c r="C29">
        <v>0</v>
      </c>
      <c r="D29" t="s">
        <v>620</v>
      </c>
      <c r="E29" t="s">
        <v>1</v>
      </c>
      <c r="F29">
        <v>0</v>
      </c>
      <c r="I29">
        <v>28</v>
      </c>
      <c r="J29" t="s">
        <v>173</v>
      </c>
      <c r="K29" t="s">
        <v>174</v>
      </c>
      <c r="L29">
        <v>15888.45</v>
      </c>
      <c r="M29">
        <v>130</v>
      </c>
      <c r="N29">
        <v>0</v>
      </c>
      <c r="O29">
        <v>0</v>
      </c>
      <c r="P29">
        <v>0</v>
      </c>
      <c r="Q29">
        <v>0</v>
      </c>
      <c r="R29" t="s">
        <v>147</v>
      </c>
      <c r="S29" t="s">
        <v>1</v>
      </c>
      <c r="U29">
        <v>17.43</v>
      </c>
    </row>
    <row r="30" spans="1:21" x14ac:dyDescent="0.25">
      <c r="A30" t="s">
        <v>82</v>
      </c>
      <c r="B30">
        <v>2683.04</v>
      </c>
      <c r="C30">
        <v>0</v>
      </c>
      <c r="D30" t="s">
        <v>620</v>
      </c>
      <c r="E30" t="s">
        <v>1</v>
      </c>
      <c r="F30">
        <v>0</v>
      </c>
      <c r="I30">
        <v>29</v>
      </c>
      <c r="J30" t="s">
        <v>174</v>
      </c>
      <c r="K30" t="s">
        <v>175</v>
      </c>
      <c r="L30">
        <v>1243.6400000000001</v>
      </c>
      <c r="M30">
        <v>130</v>
      </c>
      <c r="N30">
        <v>0</v>
      </c>
      <c r="O30">
        <v>0</v>
      </c>
      <c r="P30">
        <v>0</v>
      </c>
      <c r="Q30">
        <v>0</v>
      </c>
      <c r="R30" t="s">
        <v>147</v>
      </c>
      <c r="S30" t="s">
        <v>1</v>
      </c>
      <c r="U30">
        <v>17.43</v>
      </c>
    </row>
    <row r="31" spans="1:21" x14ac:dyDescent="0.25">
      <c r="A31" t="s">
        <v>83</v>
      </c>
      <c r="B31">
        <v>2679.76</v>
      </c>
      <c r="C31">
        <v>0</v>
      </c>
      <c r="D31" t="s">
        <v>620</v>
      </c>
      <c r="E31" t="s">
        <v>1</v>
      </c>
      <c r="F31">
        <v>0</v>
      </c>
      <c r="I31">
        <v>30</v>
      </c>
      <c r="J31" t="s">
        <v>175</v>
      </c>
      <c r="K31" t="s">
        <v>176</v>
      </c>
      <c r="L31">
        <v>984.75</v>
      </c>
      <c r="M31">
        <v>130</v>
      </c>
      <c r="N31">
        <v>0</v>
      </c>
      <c r="O31">
        <v>0</v>
      </c>
      <c r="P31">
        <v>0</v>
      </c>
      <c r="Q31">
        <v>0</v>
      </c>
      <c r="R31" t="s">
        <v>147</v>
      </c>
      <c r="S31" t="s">
        <v>1</v>
      </c>
      <c r="U31">
        <v>17.43</v>
      </c>
    </row>
    <row r="32" spans="1:21" x14ac:dyDescent="0.25">
      <c r="A32" t="s">
        <v>84</v>
      </c>
      <c r="B32">
        <v>2699.44</v>
      </c>
      <c r="C32">
        <v>0</v>
      </c>
      <c r="D32" t="s">
        <v>620</v>
      </c>
      <c r="E32" t="s">
        <v>1</v>
      </c>
      <c r="F32">
        <v>0</v>
      </c>
      <c r="I32">
        <v>31</v>
      </c>
      <c r="J32" t="s">
        <v>176</v>
      </c>
      <c r="K32" t="s">
        <v>177</v>
      </c>
      <c r="L32">
        <v>11142.98</v>
      </c>
      <c r="M32">
        <v>130</v>
      </c>
      <c r="N32">
        <v>0</v>
      </c>
      <c r="O32">
        <v>0</v>
      </c>
      <c r="P32">
        <v>0</v>
      </c>
      <c r="Q32">
        <v>0</v>
      </c>
      <c r="R32" t="s">
        <v>147</v>
      </c>
      <c r="S32" t="s">
        <v>1</v>
      </c>
      <c r="U32">
        <v>17.43</v>
      </c>
    </row>
    <row r="33" spans="1:21" x14ac:dyDescent="0.25">
      <c r="A33" t="s">
        <v>85</v>
      </c>
      <c r="B33">
        <v>2696.16</v>
      </c>
      <c r="C33">
        <v>0</v>
      </c>
      <c r="D33" t="s">
        <v>620</v>
      </c>
      <c r="E33" t="s">
        <v>1</v>
      </c>
      <c r="F33">
        <v>0</v>
      </c>
      <c r="I33">
        <v>32</v>
      </c>
      <c r="J33" t="s">
        <v>177</v>
      </c>
      <c r="K33" t="s">
        <v>178</v>
      </c>
      <c r="L33">
        <v>1028.97</v>
      </c>
      <c r="M33">
        <v>130</v>
      </c>
      <c r="N33">
        <v>0</v>
      </c>
      <c r="O33">
        <v>0</v>
      </c>
      <c r="P33">
        <v>0</v>
      </c>
      <c r="Q33">
        <v>0</v>
      </c>
      <c r="R33" t="s">
        <v>147</v>
      </c>
      <c r="S33" t="s">
        <v>1</v>
      </c>
      <c r="U33">
        <v>17.43</v>
      </c>
    </row>
    <row r="34" spans="1:21" x14ac:dyDescent="0.25">
      <c r="A34" t="s">
        <v>86</v>
      </c>
      <c r="B34">
        <v>2735.52</v>
      </c>
      <c r="C34">
        <v>0</v>
      </c>
      <c r="D34" t="s">
        <v>620</v>
      </c>
      <c r="E34" t="s">
        <v>1</v>
      </c>
      <c r="F34">
        <v>0</v>
      </c>
      <c r="I34">
        <v>33</v>
      </c>
      <c r="J34" t="s">
        <v>178</v>
      </c>
      <c r="K34" t="s">
        <v>179</v>
      </c>
      <c r="L34">
        <v>1006.01</v>
      </c>
      <c r="M34">
        <v>130</v>
      </c>
      <c r="N34">
        <v>0</v>
      </c>
      <c r="O34">
        <v>0</v>
      </c>
      <c r="P34">
        <v>0</v>
      </c>
      <c r="Q34">
        <v>0</v>
      </c>
      <c r="R34" t="s">
        <v>147</v>
      </c>
      <c r="S34" t="s">
        <v>1</v>
      </c>
      <c r="U34">
        <v>17.43</v>
      </c>
    </row>
    <row r="35" spans="1:21" x14ac:dyDescent="0.25">
      <c r="A35" t="s">
        <v>87</v>
      </c>
      <c r="B35">
        <v>2732.24</v>
      </c>
      <c r="C35">
        <v>0</v>
      </c>
      <c r="D35" t="s">
        <v>620</v>
      </c>
      <c r="E35" t="s">
        <v>1</v>
      </c>
      <c r="F35">
        <v>0</v>
      </c>
      <c r="I35">
        <v>34</v>
      </c>
      <c r="J35" t="s">
        <v>179</v>
      </c>
      <c r="K35" t="s">
        <v>180</v>
      </c>
      <c r="L35">
        <v>12584.41</v>
      </c>
      <c r="M35">
        <v>130</v>
      </c>
      <c r="N35">
        <v>0</v>
      </c>
      <c r="O35">
        <v>0</v>
      </c>
      <c r="P35">
        <v>0</v>
      </c>
      <c r="Q35">
        <v>0</v>
      </c>
      <c r="R35" t="s">
        <v>147</v>
      </c>
      <c r="S35" t="s">
        <v>1</v>
      </c>
      <c r="U35">
        <v>17.43</v>
      </c>
    </row>
    <row r="36" spans="1:21" x14ac:dyDescent="0.25">
      <c r="A36" t="s">
        <v>88</v>
      </c>
      <c r="B36">
        <v>2758.48</v>
      </c>
      <c r="C36">
        <v>0</v>
      </c>
      <c r="D36" t="s">
        <v>620</v>
      </c>
      <c r="E36" t="s">
        <v>1</v>
      </c>
      <c r="F36">
        <v>0</v>
      </c>
      <c r="I36">
        <v>35</v>
      </c>
      <c r="J36" t="s">
        <v>180</v>
      </c>
      <c r="K36" t="s">
        <v>181</v>
      </c>
      <c r="L36">
        <v>110.04</v>
      </c>
      <c r="M36">
        <v>130</v>
      </c>
      <c r="N36">
        <v>0</v>
      </c>
      <c r="O36">
        <v>0</v>
      </c>
      <c r="P36">
        <v>0</v>
      </c>
      <c r="Q36">
        <v>0</v>
      </c>
      <c r="R36" t="s">
        <v>147</v>
      </c>
      <c r="S36" t="s">
        <v>1</v>
      </c>
      <c r="U36">
        <v>17.43</v>
      </c>
    </row>
    <row r="37" spans="1:21" x14ac:dyDescent="0.25">
      <c r="A37" t="s">
        <v>89</v>
      </c>
      <c r="B37">
        <v>2761.76</v>
      </c>
      <c r="C37">
        <v>0</v>
      </c>
      <c r="D37" t="s">
        <v>620</v>
      </c>
      <c r="E37" t="s">
        <v>1</v>
      </c>
      <c r="F37">
        <v>0</v>
      </c>
      <c r="I37">
        <v>36</v>
      </c>
      <c r="J37" t="s">
        <v>181</v>
      </c>
      <c r="K37" t="s">
        <v>182</v>
      </c>
      <c r="L37">
        <v>822.89</v>
      </c>
      <c r="M37">
        <v>130</v>
      </c>
      <c r="N37">
        <v>0</v>
      </c>
      <c r="O37">
        <v>0</v>
      </c>
      <c r="P37">
        <v>0</v>
      </c>
      <c r="Q37">
        <v>0</v>
      </c>
      <c r="R37" t="s">
        <v>147</v>
      </c>
      <c r="S37" t="s">
        <v>1</v>
      </c>
      <c r="U37">
        <v>17.43</v>
      </c>
    </row>
    <row r="38" spans="1:21" x14ac:dyDescent="0.25">
      <c r="A38" t="s">
        <v>90</v>
      </c>
      <c r="B38">
        <v>2765.04</v>
      </c>
      <c r="C38">
        <v>0</v>
      </c>
      <c r="D38" t="s">
        <v>620</v>
      </c>
      <c r="E38" t="s">
        <v>1</v>
      </c>
      <c r="F38">
        <v>0</v>
      </c>
      <c r="I38">
        <v>37</v>
      </c>
      <c r="J38" t="s">
        <v>182</v>
      </c>
      <c r="K38" t="s">
        <v>183</v>
      </c>
      <c r="L38">
        <v>1643.15</v>
      </c>
      <c r="M38">
        <v>130</v>
      </c>
      <c r="N38">
        <v>0</v>
      </c>
      <c r="O38">
        <v>0</v>
      </c>
      <c r="P38">
        <v>0</v>
      </c>
      <c r="Q38">
        <v>0</v>
      </c>
      <c r="R38" t="s">
        <v>147</v>
      </c>
      <c r="S38" t="s">
        <v>1</v>
      </c>
      <c r="U38">
        <v>17.43</v>
      </c>
    </row>
    <row r="39" spans="1:21" x14ac:dyDescent="0.25">
      <c r="A39" t="s">
        <v>91</v>
      </c>
      <c r="B39">
        <v>2761.76</v>
      </c>
      <c r="C39">
        <v>0</v>
      </c>
      <c r="D39" t="s">
        <v>620</v>
      </c>
      <c r="E39" t="s">
        <v>1</v>
      </c>
      <c r="F39">
        <v>0</v>
      </c>
      <c r="I39">
        <v>38</v>
      </c>
      <c r="J39" t="s">
        <v>183</v>
      </c>
      <c r="K39" t="s">
        <v>184</v>
      </c>
      <c r="L39">
        <v>2617.41</v>
      </c>
      <c r="M39">
        <v>130</v>
      </c>
      <c r="N39">
        <v>0</v>
      </c>
      <c r="O39">
        <v>0</v>
      </c>
      <c r="P39">
        <v>0</v>
      </c>
      <c r="Q39">
        <v>0</v>
      </c>
      <c r="R39" t="s">
        <v>147</v>
      </c>
      <c r="S39" t="s">
        <v>1</v>
      </c>
      <c r="U39">
        <v>17.43</v>
      </c>
    </row>
    <row r="40" spans="1:21" x14ac:dyDescent="0.25">
      <c r="A40" t="s">
        <v>92</v>
      </c>
      <c r="B40">
        <v>2765.04</v>
      </c>
      <c r="C40">
        <v>0</v>
      </c>
      <c r="D40" t="s">
        <v>620</v>
      </c>
      <c r="E40" t="s">
        <v>1</v>
      </c>
      <c r="F40">
        <v>0</v>
      </c>
      <c r="I40">
        <v>39</v>
      </c>
      <c r="J40" t="s">
        <v>184</v>
      </c>
      <c r="K40" t="s">
        <v>185</v>
      </c>
      <c r="L40">
        <v>96.86</v>
      </c>
      <c r="M40">
        <v>130</v>
      </c>
      <c r="N40">
        <v>0</v>
      </c>
      <c r="O40">
        <v>0</v>
      </c>
      <c r="P40">
        <v>0</v>
      </c>
      <c r="Q40">
        <v>0</v>
      </c>
      <c r="R40" t="s">
        <v>147</v>
      </c>
      <c r="S40" t="s">
        <v>1</v>
      </c>
      <c r="U40">
        <v>17.43</v>
      </c>
    </row>
    <row r="41" spans="1:21" x14ac:dyDescent="0.25">
      <c r="A41" t="s">
        <v>93</v>
      </c>
      <c r="B41">
        <v>2771.6</v>
      </c>
      <c r="C41">
        <v>0</v>
      </c>
      <c r="D41" t="s">
        <v>620</v>
      </c>
      <c r="E41" t="s">
        <v>1</v>
      </c>
      <c r="F41">
        <v>0</v>
      </c>
      <c r="I41">
        <v>40</v>
      </c>
      <c r="J41" t="s">
        <v>185</v>
      </c>
      <c r="K41" t="s">
        <v>186</v>
      </c>
      <c r="L41">
        <v>2621.34</v>
      </c>
      <c r="M41">
        <v>130</v>
      </c>
      <c r="N41">
        <v>0</v>
      </c>
      <c r="O41">
        <v>0</v>
      </c>
      <c r="P41">
        <v>0</v>
      </c>
      <c r="Q41">
        <v>0</v>
      </c>
      <c r="R41" t="s">
        <v>147</v>
      </c>
      <c r="S41" t="s">
        <v>1</v>
      </c>
      <c r="U41">
        <v>17.43</v>
      </c>
    </row>
    <row r="42" spans="1:21" x14ac:dyDescent="0.25">
      <c r="A42" t="s">
        <v>94</v>
      </c>
      <c r="B42">
        <v>2784.72</v>
      </c>
      <c r="C42">
        <v>0</v>
      </c>
      <c r="D42" t="s">
        <v>620</v>
      </c>
      <c r="E42" t="s">
        <v>1</v>
      </c>
      <c r="F42">
        <v>0</v>
      </c>
      <c r="I42">
        <v>41</v>
      </c>
      <c r="J42" t="s">
        <v>186</v>
      </c>
      <c r="K42" t="s">
        <v>187</v>
      </c>
      <c r="L42">
        <v>933.52</v>
      </c>
      <c r="M42">
        <v>130</v>
      </c>
      <c r="N42">
        <v>0</v>
      </c>
      <c r="O42">
        <v>0</v>
      </c>
      <c r="P42">
        <v>0</v>
      </c>
      <c r="Q42">
        <v>0</v>
      </c>
      <c r="R42" t="s">
        <v>147</v>
      </c>
      <c r="S42" t="s">
        <v>1</v>
      </c>
      <c r="U42">
        <v>17.43</v>
      </c>
    </row>
    <row r="43" spans="1:21" x14ac:dyDescent="0.25">
      <c r="A43" t="s">
        <v>95</v>
      </c>
      <c r="B43">
        <v>2788</v>
      </c>
      <c r="C43">
        <v>0</v>
      </c>
      <c r="D43" t="s">
        <v>620</v>
      </c>
      <c r="E43" t="s">
        <v>1</v>
      </c>
      <c r="F43">
        <v>0</v>
      </c>
      <c r="I43">
        <v>42</v>
      </c>
      <c r="J43" t="s">
        <v>187</v>
      </c>
      <c r="K43" t="s">
        <v>188</v>
      </c>
      <c r="L43">
        <v>4425.24</v>
      </c>
      <c r="M43">
        <v>130</v>
      </c>
      <c r="N43">
        <v>0</v>
      </c>
      <c r="O43">
        <v>0</v>
      </c>
      <c r="P43">
        <v>0</v>
      </c>
      <c r="Q43">
        <v>0</v>
      </c>
      <c r="R43" t="s">
        <v>147</v>
      </c>
      <c r="S43" t="s">
        <v>1</v>
      </c>
      <c r="U43">
        <v>17.43</v>
      </c>
    </row>
    <row r="44" spans="1:21" x14ac:dyDescent="0.25">
      <c r="A44" t="s">
        <v>96</v>
      </c>
      <c r="B44">
        <v>2781.44</v>
      </c>
      <c r="C44">
        <v>0</v>
      </c>
      <c r="D44" t="s">
        <v>620</v>
      </c>
      <c r="E44" t="s">
        <v>1</v>
      </c>
      <c r="F44">
        <v>0</v>
      </c>
      <c r="I44">
        <v>43</v>
      </c>
      <c r="J44" t="s">
        <v>188</v>
      </c>
      <c r="K44" t="s">
        <v>189</v>
      </c>
      <c r="L44">
        <v>245.25</v>
      </c>
      <c r="M44">
        <v>130</v>
      </c>
      <c r="N44">
        <v>0</v>
      </c>
      <c r="O44">
        <v>0</v>
      </c>
      <c r="P44">
        <v>0</v>
      </c>
      <c r="Q44">
        <v>0</v>
      </c>
      <c r="R44" t="s">
        <v>147</v>
      </c>
      <c r="S44" t="s">
        <v>1</v>
      </c>
      <c r="U44">
        <v>17.43</v>
      </c>
    </row>
    <row r="45" spans="1:21" x14ac:dyDescent="0.25">
      <c r="A45" t="s">
        <v>97</v>
      </c>
      <c r="B45">
        <v>2781.44</v>
      </c>
      <c r="C45">
        <v>0</v>
      </c>
      <c r="D45" t="s">
        <v>620</v>
      </c>
      <c r="E45" t="s">
        <v>1</v>
      </c>
      <c r="F45">
        <v>0</v>
      </c>
      <c r="I45">
        <v>44</v>
      </c>
      <c r="J45" t="s">
        <v>189</v>
      </c>
      <c r="K45" t="s">
        <v>190</v>
      </c>
      <c r="L45">
        <v>2258.84</v>
      </c>
      <c r="M45">
        <v>135</v>
      </c>
      <c r="N45">
        <v>0</v>
      </c>
      <c r="O45">
        <v>0</v>
      </c>
      <c r="P45">
        <v>0</v>
      </c>
      <c r="Q45">
        <v>0</v>
      </c>
      <c r="R45" t="s">
        <v>147</v>
      </c>
      <c r="S45" t="s">
        <v>1</v>
      </c>
      <c r="U45">
        <v>18</v>
      </c>
    </row>
    <row r="46" spans="1:21" x14ac:dyDescent="0.25">
      <c r="A46" t="s">
        <v>98</v>
      </c>
      <c r="B46">
        <v>2781.44</v>
      </c>
      <c r="C46">
        <v>0</v>
      </c>
      <c r="D46" t="s">
        <v>620</v>
      </c>
      <c r="E46" t="s">
        <v>1</v>
      </c>
      <c r="F46">
        <v>0</v>
      </c>
      <c r="I46">
        <v>82</v>
      </c>
      <c r="J46" t="s">
        <v>2</v>
      </c>
      <c r="K46" t="s">
        <v>3</v>
      </c>
      <c r="L46">
        <v>1938.8407999999999</v>
      </c>
      <c r="M46">
        <v>130</v>
      </c>
      <c r="N46">
        <v>0</v>
      </c>
      <c r="O46">
        <v>0</v>
      </c>
      <c r="P46">
        <v>0</v>
      </c>
      <c r="Q46">
        <v>0</v>
      </c>
      <c r="R46" t="s">
        <v>191</v>
      </c>
      <c r="S46" t="s">
        <v>1</v>
      </c>
      <c r="U46">
        <v>6</v>
      </c>
    </row>
    <row r="47" spans="1:21" x14ac:dyDescent="0.25">
      <c r="A47" t="s">
        <v>99</v>
      </c>
      <c r="B47">
        <v>2781.44</v>
      </c>
      <c r="C47">
        <v>0</v>
      </c>
      <c r="D47" t="s">
        <v>620</v>
      </c>
      <c r="E47" t="s">
        <v>1</v>
      </c>
      <c r="F47">
        <v>0</v>
      </c>
      <c r="I47">
        <v>83</v>
      </c>
      <c r="J47" t="s">
        <v>3</v>
      </c>
      <c r="K47" t="s">
        <v>4</v>
      </c>
      <c r="L47">
        <v>624.57759999999996</v>
      </c>
      <c r="M47">
        <v>100</v>
      </c>
      <c r="N47">
        <v>0</v>
      </c>
      <c r="O47">
        <v>0</v>
      </c>
      <c r="P47">
        <v>0</v>
      </c>
      <c r="Q47">
        <v>0</v>
      </c>
      <c r="R47" t="s">
        <v>191</v>
      </c>
      <c r="S47" t="s">
        <v>1</v>
      </c>
      <c r="U47">
        <v>12</v>
      </c>
    </row>
    <row r="48" spans="1:21" x14ac:dyDescent="0.25">
      <c r="A48" t="s">
        <v>100</v>
      </c>
      <c r="B48">
        <v>2791.44</v>
      </c>
      <c r="C48">
        <v>0</v>
      </c>
      <c r="D48" t="s">
        <v>620</v>
      </c>
      <c r="E48" t="s">
        <v>1</v>
      </c>
      <c r="F48">
        <v>0</v>
      </c>
      <c r="I48">
        <v>84</v>
      </c>
      <c r="J48" t="s">
        <v>4</v>
      </c>
      <c r="K48" t="s">
        <v>5</v>
      </c>
      <c r="L48">
        <v>1602.3456000000001</v>
      </c>
      <c r="M48">
        <v>130</v>
      </c>
      <c r="N48">
        <v>0</v>
      </c>
      <c r="O48">
        <v>0</v>
      </c>
      <c r="P48">
        <v>0</v>
      </c>
      <c r="Q48">
        <v>0</v>
      </c>
      <c r="R48" t="s">
        <v>191</v>
      </c>
      <c r="S48" t="s">
        <v>1</v>
      </c>
      <c r="U48">
        <v>6</v>
      </c>
    </row>
    <row r="49" spans="1:21" x14ac:dyDescent="0.25">
      <c r="A49" t="s">
        <v>101</v>
      </c>
      <c r="B49">
        <v>2792.16</v>
      </c>
      <c r="C49">
        <v>0</v>
      </c>
      <c r="D49" t="s">
        <v>620</v>
      </c>
      <c r="E49" t="s">
        <v>622</v>
      </c>
      <c r="F49">
        <v>0</v>
      </c>
      <c r="I49">
        <v>85</v>
      </c>
      <c r="J49" t="s">
        <v>5</v>
      </c>
      <c r="K49" t="s">
        <v>6</v>
      </c>
      <c r="L49">
        <v>359.9144</v>
      </c>
      <c r="M49">
        <v>130</v>
      </c>
      <c r="N49">
        <v>0</v>
      </c>
      <c r="O49">
        <v>0</v>
      </c>
      <c r="P49">
        <v>0</v>
      </c>
      <c r="Q49">
        <v>0</v>
      </c>
      <c r="R49" t="s">
        <v>191</v>
      </c>
      <c r="S49" t="s">
        <v>1</v>
      </c>
      <c r="U49">
        <v>8</v>
      </c>
    </row>
    <row r="50" spans="1:21" x14ac:dyDescent="0.25">
      <c r="A50" t="s">
        <v>102</v>
      </c>
      <c r="B50">
        <v>2790.88</v>
      </c>
      <c r="C50">
        <v>0</v>
      </c>
      <c r="D50" t="s">
        <v>620</v>
      </c>
      <c r="E50" t="s">
        <v>623</v>
      </c>
      <c r="F50">
        <v>0</v>
      </c>
      <c r="I50">
        <v>86</v>
      </c>
      <c r="J50" t="s">
        <v>6</v>
      </c>
      <c r="K50" t="s">
        <v>7</v>
      </c>
      <c r="L50">
        <v>34.505600000000001</v>
      </c>
      <c r="M50">
        <v>100</v>
      </c>
      <c r="N50">
        <v>0</v>
      </c>
      <c r="O50">
        <v>0</v>
      </c>
      <c r="P50">
        <v>0</v>
      </c>
      <c r="Q50">
        <v>0</v>
      </c>
      <c r="R50" t="s">
        <v>0</v>
      </c>
      <c r="S50" t="s">
        <v>1</v>
      </c>
      <c r="U50">
        <v>12</v>
      </c>
    </row>
    <row r="51" spans="1:21" x14ac:dyDescent="0.25">
      <c r="A51" t="s">
        <v>103</v>
      </c>
      <c r="B51">
        <v>2790.88</v>
      </c>
      <c r="C51">
        <v>0</v>
      </c>
      <c r="D51" t="s">
        <v>620</v>
      </c>
      <c r="E51" t="s">
        <v>623</v>
      </c>
      <c r="F51">
        <v>0</v>
      </c>
      <c r="I51">
        <v>87</v>
      </c>
      <c r="J51" t="s">
        <v>7</v>
      </c>
      <c r="K51" t="s">
        <v>8</v>
      </c>
      <c r="L51">
        <v>6.8552</v>
      </c>
      <c r="M51">
        <v>100</v>
      </c>
      <c r="N51">
        <v>0</v>
      </c>
      <c r="O51">
        <v>0</v>
      </c>
      <c r="P51">
        <v>0</v>
      </c>
      <c r="Q51">
        <v>0</v>
      </c>
      <c r="R51" t="s">
        <v>0</v>
      </c>
      <c r="S51" t="s">
        <v>1</v>
      </c>
      <c r="U51">
        <v>12</v>
      </c>
    </row>
    <row r="52" spans="1:21" x14ac:dyDescent="0.25">
      <c r="A52" t="s">
        <v>104</v>
      </c>
      <c r="B52">
        <v>2791.44</v>
      </c>
      <c r="C52">
        <v>0</v>
      </c>
      <c r="D52" t="s">
        <v>620</v>
      </c>
      <c r="E52" t="s">
        <v>624</v>
      </c>
      <c r="F52">
        <v>0</v>
      </c>
      <c r="I52">
        <v>88</v>
      </c>
      <c r="J52" t="s">
        <v>8</v>
      </c>
      <c r="K52" t="s">
        <v>9</v>
      </c>
      <c r="L52">
        <v>9.4136000000000006</v>
      </c>
      <c r="M52">
        <v>100</v>
      </c>
      <c r="N52">
        <v>0</v>
      </c>
      <c r="O52">
        <v>0</v>
      </c>
      <c r="P52">
        <v>0</v>
      </c>
      <c r="Q52">
        <v>0</v>
      </c>
      <c r="R52" t="s">
        <v>0</v>
      </c>
      <c r="S52" t="s">
        <v>1</v>
      </c>
      <c r="U52">
        <v>12</v>
      </c>
    </row>
    <row r="53" spans="1:21" x14ac:dyDescent="0.25">
      <c r="A53" t="s">
        <v>105</v>
      </c>
      <c r="B53">
        <v>2791.28</v>
      </c>
      <c r="C53">
        <v>0</v>
      </c>
      <c r="D53" t="s">
        <v>620</v>
      </c>
      <c r="E53" t="s">
        <v>1</v>
      </c>
      <c r="F53">
        <v>0</v>
      </c>
      <c r="I53">
        <v>89</v>
      </c>
      <c r="J53" t="s">
        <v>9</v>
      </c>
      <c r="K53" t="s">
        <v>10</v>
      </c>
      <c r="L53">
        <v>2110.2208000000001</v>
      </c>
      <c r="M53">
        <v>100</v>
      </c>
      <c r="N53">
        <v>0</v>
      </c>
      <c r="O53">
        <v>0</v>
      </c>
      <c r="P53">
        <v>0</v>
      </c>
      <c r="Q53">
        <v>0</v>
      </c>
      <c r="R53" t="s">
        <v>191</v>
      </c>
      <c r="S53" t="s">
        <v>1</v>
      </c>
      <c r="U53">
        <v>12</v>
      </c>
    </row>
    <row r="54" spans="1:21" x14ac:dyDescent="0.25">
      <c r="A54" t="s">
        <v>106</v>
      </c>
      <c r="B54">
        <v>2793.06</v>
      </c>
      <c r="C54">
        <v>0</v>
      </c>
      <c r="D54" t="s">
        <v>620</v>
      </c>
      <c r="E54" t="s">
        <v>1</v>
      </c>
      <c r="F54">
        <v>0</v>
      </c>
      <c r="I54">
        <v>90</v>
      </c>
      <c r="J54" t="s">
        <v>10</v>
      </c>
      <c r="K54" t="s">
        <v>11</v>
      </c>
      <c r="L54">
        <v>10.266400000000001</v>
      </c>
      <c r="M54">
        <v>100</v>
      </c>
      <c r="N54">
        <v>0</v>
      </c>
      <c r="O54">
        <v>0</v>
      </c>
      <c r="P54">
        <v>0</v>
      </c>
      <c r="Q54">
        <v>0</v>
      </c>
      <c r="R54" t="s">
        <v>0</v>
      </c>
      <c r="S54" t="s">
        <v>1</v>
      </c>
      <c r="U54">
        <v>12</v>
      </c>
    </row>
    <row r="55" spans="1:21" x14ac:dyDescent="0.25">
      <c r="A55" t="s">
        <v>107</v>
      </c>
      <c r="B55">
        <v>2781.53</v>
      </c>
      <c r="C55">
        <v>0</v>
      </c>
      <c r="D55" t="s">
        <v>620</v>
      </c>
      <c r="E55" t="s">
        <v>623</v>
      </c>
      <c r="F55">
        <v>0</v>
      </c>
      <c r="I55">
        <v>91</v>
      </c>
      <c r="J55" t="s">
        <v>11</v>
      </c>
      <c r="K55" t="s">
        <v>12</v>
      </c>
      <c r="L55">
        <v>1402.0360000000001</v>
      </c>
      <c r="M55">
        <v>100</v>
      </c>
      <c r="N55">
        <v>0</v>
      </c>
      <c r="O55">
        <v>0</v>
      </c>
      <c r="P55">
        <v>0</v>
      </c>
      <c r="Q55">
        <v>0</v>
      </c>
      <c r="R55" t="s">
        <v>191</v>
      </c>
      <c r="S55" t="s">
        <v>1</v>
      </c>
      <c r="U55">
        <v>12</v>
      </c>
    </row>
    <row r="56" spans="1:21" x14ac:dyDescent="0.25">
      <c r="A56" t="s">
        <v>108</v>
      </c>
      <c r="B56">
        <v>2787.48</v>
      </c>
      <c r="C56">
        <v>0</v>
      </c>
      <c r="D56" t="s">
        <v>620</v>
      </c>
      <c r="E56" t="s">
        <v>625</v>
      </c>
      <c r="F56">
        <v>0</v>
      </c>
      <c r="I56">
        <v>92</v>
      </c>
      <c r="J56" t="s">
        <v>12</v>
      </c>
      <c r="K56" t="s">
        <v>13</v>
      </c>
      <c r="L56">
        <v>348.99200000000002</v>
      </c>
      <c r="M56">
        <v>100</v>
      </c>
      <c r="N56">
        <v>0</v>
      </c>
      <c r="O56">
        <v>0</v>
      </c>
      <c r="P56">
        <v>0</v>
      </c>
      <c r="Q56">
        <v>0</v>
      </c>
      <c r="R56" t="s">
        <v>0</v>
      </c>
      <c r="S56" t="s">
        <v>1</v>
      </c>
      <c r="U56">
        <v>12</v>
      </c>
    </row>
    <row r="57" spans="1:21" x14ac:dyDescent="0.25">
      <c r="A57" t="s">
        <v>109</v>
      </c>
      <c r="B57">
        <v>2787.48</v>
      </c>
      <c r="C57">
        <v>0</v>
      </c>
      <c r="D57" t="s">
        <v>620</v>
      </c>
      <c r="E57" t="s">
        <v>626</v>
      </c>
      <c r="F57">
        <v>0</v>
      </c>
      <c r="I57">
        <v>93</v>
      </c>
      <c r="J57" t="s">
        <v>13</v>
      </c>
      <c r="K57" t="s">
        <v>14</v>
      </c>
      <c r="L57">
        <v>795.82640000000004</v>
      </c>
      <c r="M57">
        <v>100</v>
      </c>
      <c r="N57">
        <v>0</v>
      </c>
      <c r="O57">
        <v>0</v>
      </c>
      <c r="P57">
        <v>0</v>
      </c>
      <c r="Q57">
        <v>0</v>
      </c>
      <c r="R57" t="s">
        <v>191</v>
      </c>
      <c r="S57" t="s">
        <v>1</v>
      </c>
      <c r="U57">
        <v>12</v>
      </c>
    </row>
    <row r="58" spans="1:21" x14ac:dyDescent="0.25">
      <c r="A58" t="s">
        <v>110</v>
      </c>
      <c r="B58">
        <v>2787.48</v>
      </c>
      <c r="C58">
        <v>0</v>
      </c>
      <c r="D58" t="s">
        <v>620</v>
      </c>
      <c r="E58" t="s">
        <v>1</v>
      </c>
      <c r="F58">
        <v>0</v>
      </c>
      <c r="I58">
        <v>94</v>
      </c>
      <c r="J58" t="s">
        <v>14</v>
      </c>
      <c r="K58" t="s">
        <v>15</v>
      </c>
      <c r="L58">
        <v>949.7568</v>
      </c>
      <c r="M58">
        <v>100</v>
      </c>
      <c r="N58">
        <v>0</v>
      </c>
      <c r="O58">
        <v>0</v>
      </c>
      <c r="P58">
        <v>0</v>
      </c>
      <c r="Q58">
        <v>0</v>
      </c>
      <c r="R58" t="s">
        <v>0</v>
      </c>
      <c r="S58" t="s">
        <v>1</v>
      </c>
      <c r="U58">
        <v>14</v>
      </c>
    </row>
    <row r="59" spans="1:21" x14ac:dyDescent="0.25">
      <c r="A59" t="s">
        <v>111</v>
      </c>
      <c r="B59">
        <v>2784.72</v>
      </c>
      <c r="C59">
        <v>0</v>
      </c>
      <c r="D59" t="s">
        <v>620</v>
      </c>
      <c r="E59" t="s">
        <v>1</v>
      </c>
      <c r="F59">
        <v>0</v>
      </c>
      <c r="I59">
        <v>95</v>
      </c>
      <c r="J59" t="s">
        <v>16</v>
      </c>
      <c r="K59" t="s">
        <v>17</v>
      </c>
      <c r="L59">
        <v>2047.1135999999999</v>
      </c>
      <c r="M59">
        <v>100</v>
      </c>
      <c r="N59">
        <v>0</v>
      </c>
      <c r="O59">
        <v>0</v>
      </c>
      <c r="P59">
        <v>0</v>
      </c>
      <c r="Q59">
        <v>0</v>
      </c>
      <c r="R59" t="s">
        <v>191</v>
      </c>
      <c r="S59" t="s">
        <v>1</v>
      </c>
      <c r="U59">
        <v>6</v>
      </c>
    </row>
    <row r="60" spans="1:21" x14ac:dyDescent="0.25">
      <c r="A60" t="s">
        <v>112</v>
      </c>
      <c r="B60">
        <v>2784.72</v>
      </c>
      <c r="C60">
        <v>0</v>
      </c>
      <c r="D60" t="s">
        <v>620</v>
      </c>
      <c r="E60" t="s">
        <v>1</v>
      </c>
      <c r="F60">
        <v>0</v>
      </c>
      <c r="I60">
        <v>96</v>
      </c>
      <c r="J60" t="s">
        <v>17</v>
      </c>
      <c r="K60" t="s">
        <v>18</v>
      </c>
      <c r="L60">
        <v>14.7272</v>
      </c>
      <c r="M60">
        <v>100</v>
      </c>
      <c r="N60">
        <v>0</v>
      </c>
      <c r="O60">
        <v>0</v>
      </c>
      <c r="P60">
        <v>0</v>
      </c>
      <c r="Q60">
        <v>0</v>
      </c>
      <c r="R60" t="s">
        <v>0</v>
      </c>
      <c r="S60" t="s">
        <v>1</v>
      </c>
      <c r="U60">
        <v>12</v>
      </c>
    </row>
    <row r="61" spans="1:21" x14ac:dyDescent="0.25">
      <c r="A61" t="s">
        <v>113</v>
      </c>
      <c r="B61">
        <v>2781.44</v>
      </c>
      <c r="C61">
        <v>0</v>
      </c>
      <c r="D61" t="s">
        <v>620</v>
      </c>
      <c r="E61" t="s">
        <v>1</v>
      </c>
      <c r="F61">
        <v>0</v>
      </c>
      <c r="I61">
        <v>97</v>
      </c>
      <c r="J61" t="s">
        <v>18</v>
      </c>
      <c r="K61" t="s">
        <v>19</v>
      </c>
      <c r="L61">
        <v>19.2864</v>
      </c>
      <c r="M61">
        <v>100</v>
      </c>
      <c r="N61">
        <v>0</v>
      </c>
      <c r="O61">
        <v>0</v>
      </c>
      <c r="P61">
        <v>0</v>
      </c>
      <c r="Q61">
        <v>0</v>
      </c>
      <c r="R61" t="s">
        <v>0</v>
      </c>
      <c r="S61" t="s">
        <v>1</v>
      </c>
      <c r="U61">
        <v>12</v>
      </c>
    </row>
    <row r="62" spans="1:21" x14ac:dyDescent="0.25">
      <c r="A62" t="s">
        <v>114</v>
      </c>
      <c r="B62">
        <v>2781.44</v>
      </c>
      <c r="C62">
        <v>0</v>
      </c>
      <c r="D62" t="s">
        <v>620</v>
      </c>
      <c r="E62" t="s">
        <v>1</v>
      </c>
      <c r="F62">
        <v>0</v>
      </c>
      <c r="I62">
        <v>98</v>
      </c>
      <c r="J62" t="s">
        <v>20</v>
      </c>
      <c r="K62" t="s">
        <v>19</v>
      </c>
      <c r="L62">
        <v>28.831199999999999</v>
      </c>
      <c r="M62">
        <v>130</v>
      </c>
      <c r="N62">
        <v>0</v>
      </c>
      <c r="O62">
        <v>0</v>
      </c>
      <c r="P62">
        <v>0</v>
      </c>
      <c r="Q62">
        <v>0</v>
      </c>
      <c r="R62" t="s">
        <v>0</v>
      </c>
      <c r="S62" t="s">
        <v>1</v>
      </c>
      <c r="U62">
        <v>6</v>
      </c>
    </row>
    <row r="63" spans="1:21" x14ac:dyDescent="0.25">
      <c r="A63" t="s">
        <v>115</v>
      </c>
      <c r="B63">
        <v>2791.28</v>
      </c>
      <c r="C63">
        <v>0</v>
      </c>
      <c r="D63" t="s">
        <v>620</v>
      </c>
      <c r="E63" t="s">
        <v>627</v>
      </c>
      <c r="F63">
        <v>0</v>
      </c>
      <c r="I63">
        <v>99</v>
      </c>
      <c r="J63" t="s">
        <v>19</v>
      </c>
      <c r="K63" t="s">
        <v>21</v>
      </c>
      <c r="L63">
        <v>936.99760000000003</v>
      </c>
      <c r="M63">
        <v>100</v>
      </c>
      <c r="N63">
        <v>0</v>
      </c>
      <c r="O63">
        <v>0</v>
      </c>
      <c r="P63">
        <v>0</v>
      </c>
      <c r="Q63">
        <v>0</v>
      </c>
      <c r="R63" t="s">
        <v>191</v>
      </c>
      <c r="S63" t="s">
        <v>1</v>
      </c>
      <c r="U63">
        <v>6</v>
      </c>
    </row>
    <row r="64" spans="1:21" x14ac:dyDescent="0.25">
      <c r="A64" t="s">
        <v>116</v>
      </c>
      <c r="B64">
        <v>2774.88</v>
      </c>
      <c r="C64">
        <v>0</v>
      </c>
      <c r="D64" t="s">
        <v>620</v>
      </c>
      <c r="E64" t="s">
        <v>628</v>
      </c>
      <c r="F64">
        <v>0</v>
      </c>
      <c r="I64">
        <v>100</v>
      </c>
      <c r="J64" t="s">
        <v>21</v>
      </c>
      <c r="K64" t="s">
        <v>22</v>
      </c>
      <c r="L64">
        <v>770.7672</v>
      </c>
      <c r="M64">
        <v>100</v>
      </c>
      <c r="N64">
        <v>0</v>
      </c>
      <c r="O64">
        <v>0</v>
      </c>
      <c r="P64">
        <v>0</v>
      </c>
      <c r="Q64">
        <v>0</v>
      </c>
      <c r="R64" t="s">
        <v>191</v>
      </c>
      <c r="S64" t="s">
        <v>1</v>
      </c>
      <c r="U64">
        <v>6</v>
      </c>
    </row>
    <row r="65" spans="1:21" x14ac:dyDescent="0.25">
      <c r="A65" t="s">
        <v>117</v>
      </c>
      <c r="B65">
        <v>2799.3</v>
      </c>
      <c r="C65">
        <v>0</v>
      </c>
      <c r="D65" t="s">
        <v>620</v>
      </c>
      <c r="E65" t="s">
        <v>627</v>
      </c>
      <c r="F65">
        <v>0</v>
      </c>
      <c r="I65">
        <v>101</v>
      </c>
      <c r="J65" t="s">
        <v>22</v>
      </c>
      <c r="K65" t="s">
        <v>23</v>
      </c>
      <c r="L65">
        <v>1367.7927999999999</v>
      </c>
      <c r="M65">
        <v>100</v>
      </c>
      <c r="N65">
        <v>0</v>
      </c>
      <c r="O65">
        <v>0</v>
      </c>
      <c r="P65">
        <v>0</v>
      </c>
      <c r="Q65">
        <v>0</v>
      </c>
      <c r="R65" t="s">
        <v>191</v>
      </c>
      <c r="S65" t="s">
        <v>1</v>
      </c>
      <c r="U65">
        <v>8</v>
      </c>
    </row>
    <row r="66" spans="1:21" x14ac:dyDescent="0.25">
      <c r="A66" t="s">
        <v>118</v>
      </c>
      <c r="B66">
        <v>2801.93</v>
      </c>
      <c r="C66">
        <v>0</v>
      </c>
      <c r="D66" t="s">
        <v>620</v>
      </c>
      <c r="E66" t="s">
        <v>626</v>
      </c>
      <c r="F66">
        <v>0</v>
      </c>
      <c r="I66">
        <v>102</v>
      </c>
      <c r="J66" t="s">
        <v>23</v>
      </c>
      <c r="K66" t="s">
        <v>24</v>
      </c>
      <c r="L66">
        <v>696.18</v>
      </c>
      <c r="M66">
        <v>100</v>
      </c>
      <c r="N66">
        <v>0</v>
      </c>
      <c r="O66">
        <v>0</v>
      </c>
      <c r="P66">
        <v>0</v>
      </c>
      <c r="Q66">
        <v>0</v>
      </c>
      <c r="R66" t="s">
        <v>191</v>
      </c>
      <c r="S66" t="s">
        <v>1</v>
      </c>
      <c r="U66">
        <v>8</v>
      </c>
    </row>
    <row r="67" spans="1:21" x14ac:dyDescent="0.25">
      <c r="A67" t="s">
        <v>119</v>
      </c>
      <c r="B67">
        <v>2805.21</v>
      </c>
      <c r="C67">
        <v>0</v>
      </c>
      <c r="D67" t="s">
        <v>620</v>
      </c>
      <c r="E67" t="s">
        <v>629</v>
      </c>
      <c r="F67">
        <v>0</v>
      </c>
      <c r="I67">
        <v>103</v>
      </c>
      <c r="J67" t="s">
        <v>24</v>
      </c>
      <c r="K67" t="s">
        <v>25</v>
      </c>
      <c r="L67">
        <v>2981.2575999999999</v>
      </c>
      <c r="M67">
        <v>100</v>
      </c>
      <c r="N67">
        <v>0</v>
      </c>
      <c r="O67">
        <v>0</v>
      </c>
      <c r="P67">
        <v>0</v>
      </c>
      <c r="Q67">
        <v>0</v>
      </c>
      <c r="R67" t="s">
        <v>191</v>
      </c>
      <c r="S67" t="s">
        <v>1</v>
      </c>
      <c r="U67">
        <v>8</v>
      </c>
    </row>
    <row r="68" spans="1:21" x14ac:dyDescent="0.25">
      <c r="A68" t="s">
        <v>120</v>
      </c>
      <c r="B68">
        <v>2784.72</v>
      </c>
      <c r="C68">
        <v>0</v>
      </c>
      <c r="D68" t="s">
        <v>620</v>
      </c>
      <c r="E68" t="s">
        <v>626</v>
      </c>
      <c r="F68">
        <v>0</v>
      </c>
      <c r="I68">
        <v>104</v>
      </c>
      <c r="J68" t="s">
        <v>25</v>
      </c>
      <c r="K68" t="s">
        <v>6</v>
      </c>
      <c r="L68">
        <v>716.15520000000004</v>
      </c>
      <c r="M68">
        <v>100</v>
      </c>
      <c r="N68">
        <v>0</v>
      </c>
      <c r="O68">
        <v>0</v>
      </c>
      <c r="P68">
        <v>0</v>
      </c>
      <c r="Q68">
        <v>0</v>
      </c>
      <c r="R68" t="s">
        <v>191</v>
      </c>
      <c r="S68" t="s">
        <v>1</v>
      </c>
      <c r="U68">
        <v>12</v>
      </c>
    </row>
    <row r="69" spans="1:21" x14ac:dyDescent="0.25">
      <c r="A69" t="s">
        <v>121</v>
      </c>
      <c r="B69">
        <v>2806</v>
      </c>
      <c r="C69">
        <v>0</v>
      </c>
      <c r="D69" t="s">
        <v>620</v>
      </c>
      <c r="E69" t="s">
        <v>627</v>
      </c>
      <c r="F69">
        <v>0</v>
      </c>
      <c r="I69">
        <v>105</v>
      </c>
      <c r="J69" t="s">
        <v>26</v>
      </c>
      <c r="K69" t="s">
        <v>21</v>
      </c>
      <c r="L69">
        <v>2322.8631999999998</v>
      </c>
      <c r="M69">
        <v>100</v>
      </c>
      <c r="N69">
        <v>0</v>
      </c>
      <c r="O69">
        <v>0</v>
      </c>
      <c r="P69">
        <v>0</v>
      </c>
      <c r="Q69">
        <v>0</v>
      </c>
      <c r="R69" t="s">
        <v>191</v>
      </c>
      <c r="S69" t="s">
        <v>1</v>
      </c>
      <c r="U69">
        <v>12</v>
      </c>
    </row>
    <row r="70" spans="1:21" x14ac:dyDescent="0.25">
      <c r="A70" t="s">
        <v>122</v>
      </c>
      <c r="B70">
        <v>2798.89</v>
      </c>
      <c r="C70">
        <v>0</v>
      </c>
      <c r="D70" t="s">
        <v>620</v>
      </c>
      <c r="E70" t="s">
        <v>627</v>
      </c>
      <c r="F70">
        <v>0</v>
      </c>
      <c r="I70">
        <v>106</v>
      </c>
      <c r="J70" t="s">
        <v>27</v>
      </c>
      <c r="K70" t="s">
        <v>23</v>
      </c>
      <c r="L70">
        <v>2085.5551999999998</v>
      </c>
      <c r="M70">
        <v>130</v>
      </c>
      <c r="N70">
        <v>0</v>
      </c>
      <c r="O70">
        <v>0</v>
      </c>
      <c r="P70">
        <v>0</v>
      </c>
      <c r="Q70">
        <v>0</v>
      </c>
      <c r="R70" t="s">
        <v>191</v>
      </c>
      <c r="S70" t="s">
        <v>1</v>
      </c>
      <c r="U70">
        <v>6</v>
      </c>
    </row>
    <row r="71" spans="1:21" x14ac:dyDescent="0.25">
      <c r="A71" t="s">
        <v>123</v>
      </c>
      <c r="B71">
        <v>2804.19</v>
      </c>
      <c r="C71">
        <v>0</v>
      </c>
      <c r="D71" t="s">
        <v>620</v>
      </c>
      <c r="E71" t="s">
        <v>630</v>
      </c>
      <c r="F71">
        <v>0</v>
      </c>
      <c r="I71">
        <v>107</v>
      </c>
      <c r="J71" t="s">
        <v>28</v>
      </c>
      <c r="K71" t="s">
        <v>3</v>
      </c>
      <c r="L71">
        <v>1302.1928</v>
      </c>
      <c r="M71">
        <v>130</v>
      </c>
      <c r="N71">
        <v>0</v>
      </c>
      <c r="O71">
        <v>0</v>
      </c>
      <c r="P71">
        <v>0</v>
      </c>
      <c r="Q71">
        <v>0</v>
      </c>
      <c r="R71" t="s">
        <v>191</v>
      </c>
      <c r="S71" t="s">
        <v>1</v>
      </c>
      <c r="U71">
        <v>6</v>
      </c>
    </row>
    <row r="72" spans="1:21" x14ac:dyDescent="0.25">
      <c r="A72" t="s">
        <v>124</v>
      </c>
      <c r="B72">
        <v>2804.19</v>
      </c>
      <c r="C72">
        <v>0</v>
      </c>
      <c r="D72" t="s">
        <v>620</v>
      </c>
      <c r="E72" t="s">
        <v>629</v>
      </c>
      <c r="F72">
        <v>0</v>
      </c>
      <c r="I72">
        <v>108</v>
      </c>
      <c r="J72" t="s">
        <v>29</v>
      </c>
      <c r="K72" t="s">
        <v>4</v>
      </c>
      <c r="L72">
        <v>1108.4431999999999</v>
      </c>
      <c r="M72">
        <v>130</v>
      </c>
      <c r="N72">
        <v>0</v>
      </c>
      <c r="O72">
        <v>0</v>
      </c>
      <c r="P72">
        <v>0</v>
      </c>
      <c r="Q72">
        <v>0</v>
      </c>
      <c r="R72" t="s">
        <v>191</v>
      </c>
      <c r="S72" t="s">
        <v>1</v>
      </c>
      <c r="U72">
        <v>6</v>
      </c>
    </row>
    <row r="73" spans="1:21" x14ac:dyDescent="0.25">
      <c r="A73" t="s">
        <v>125</v>
      </c>
      <c r="B73">
        <v>2806.2</v>
      </c>
      <c r="C73">
        <v>0</v>
      </c>
      <c r="D73" t="s">
        <v>620</v>
      </c>
      <c r="E73" t="s">
        <v>629</v>
      </c>
      <c r="F73">
        <v>0</v>
      </c>
      <c r="I73">
        <v>109</v>
      </c>
      <c r="J73" t="s">
        <v>30</v>
      </c>
      <c r="K73" t="s">
        <v>5</v>
      </c>
      <c r="L73">
        <v>1094.4048</v>
      </c>
      <c r="M73">
        <v>130</v>
      </c>
      <c r="N73">
        <v>0</v>
      </c>
      <c r="O73">
        <v>0</v>
      </c>
      <c r="P73">
        <v>0</v>
      </c>
      <c r="Q73">
        <v>0</v>
      </c>
      <c r="R73" t="s">
        <v>191</v>
      </c>
      <c r="S73" t="s">
        <v>1</v>
      </c>
      <c r="U73">
        <v>6</v>
      </c>
    </row>
    <row r="74" spans="1:21" x14ac:dyDescent="0.25">
      <c r="A74" t="s">
        <v>126</v>
      </c>
      <c r="B74">
        <v>2810.37</v>
      </c>
      <c r="C74">
        <v>0</v>
      </c>
      <c r="D74" t="s">
        <v>620</v>
      </c>
      <c r="E74" t="s">
        <v>631</v>
      </c>
      <c r="F74">
        <v>0</v>
      </c>
      <c r="I74">
        <v>110</v>
      </c>
      <c r="J74" t="s">
        <v>31</v>
      </c>
      <c r="K74" t="s">
        <v>13</v>
      </c>
      <c r="L74">
        <v>951.98720000000003</v>
      </c>
      <c r="M74">
        <v>100</v>
      </c>
      <c r="N74">
        <v>0</v>
      </c>
      <c r="O74">
        <v>0</v>
      </c>
      <c r="P74">
        <v>0</v>
      </c>
      <c r="Q74">
        <v>0</v>
      </c>
      <c r="R74" t="s">
        <v>191</v>
      </c>
      <c r="S74" t="s">
        <v>1</v>
      </c>
      <c r="U74">
        <v>12</v>
      </c>
    </row>
    <row r="75" spans="1:21" x14ac:dyDescent="0.25">
      <c r="A75" t="s">
        <v>127</v>
      </c>
      <c r="B75">
        <v>2806.95</v>
      </c>
      <c r="C75">
        <v>0</v>
      </c>
      <c r="D75" t="s">
        <v>620</v>
      </c>
      <c r="E75" t="s">
        <v>632</v>
      </c>
      <c r="F75">
        <v>0</v>
      </c>
      <c r="I75">
        <v>111</v>
      </c>
      <c r="J75" t="s">
        <v>32</v>
      </c>
      <c r="K75" t="s">
        <v>12</v>
      </c>
      <c r="L75">
        <v>1159.2832000000001</v>
      </c>
      <c r="M75">
        <v>100</v>
      </c>
      <c r="N75">
        <v>0</v>
      </c>
      <c r="O75">
        <v>0</v>
      </c>
      <c r="P75">
        <v>0</v>
      </c>
      <c r="Q75">
        <v>0</v>
      </c>
      <c r="R75" t="s">
        <v>191</v>
      </c>
      <c r="S75" t="s">
        <v>1</v>
      </c>
      <c r="U75">
        <v>12</v>
      </c>
    </row>
    <row r="76" spans="1:21" x14ac:dyDescent="0.25">
      <c r="A76" t="s">
        <v>128</v>
      </c>
      <c r="B76">
        <v>2806.95</v>
      </c>
      <c r="C76">
        <v>0</v>
      </c>
      <c r="D76" t="s">
        <v>620</v>
      </c>
      <c r="E76" t="s">
        <v>631</v>
      </c>
      <c r="F76">
        <v>0</v>
      </c>
      <c r="I76">
        <v>112</v>
      </c>
      <c r="J76" t="s">
        <v>33</v>
      </c>
      <c r="K76" t="s">
        <v>10</v>
      </c>
      <c r="L76">
        <v>92.823999999999998</v>
      </c>
      <c r="M76">
        <v>100</v>
      </c>
      <c r="N76">
        <v>0</v>
      </c>
      <c r="O76">
        <v>0</v>
      </c>
      <c r="P76">
        <v>0</v>
      </c>
      <c r="Q76">
        <v>0</v>
      </c>
      <c r="R76" t="s">
        <v>0</v>
      </c>
      <c r="S76" t="s">
        <v>1</v>
      </c>
      <c r="U76">
        <v>12</v>
      </c>
    </row>
    <row r="77" spans="1:21" x14ac:dyDescent="0.25">
      <c r="A77" t="s">
        <v>129</v>
      </c>
      <c r="B77">
        <v>2812.2</v>
      </c>
      <c r="C77">
        <v>0</v>
      </c>
      <c r="D77" t="s">
        <v>620</v>
      </c>
      <c r="E77" t="s">
        <v>633</v>
      </c>
      <c r="F77">
        <v>0</v>
      </c>
      <c r="I77">
        <v>113</v>
      </c>
      <c r="J77" t="s">
        <v>34</v>
      </c>
      <c r="K77" t="s">
        <v>24</v>
      </c>
      <c r="L77">
        <v>27.650400000000001</v>
      </c>
      <c r="M77">
        <v>100</v>
      </c>
      <c r="N77">
        <v>0</v>
      </c>
      <c r="O77">
        <v>0</v>
      </c>
      <c r="P77">
        <v>0</v>
      </c>
      <c r="Q77">
        <v>0</v>
      </c>
      <c r="R77" t="s">
        <v>0</v>
      </c>
      <c r="S77" t="s">
        <v>1</v>
      </c>
      <c r="U77">
        <v>12</v>
      </c>
    </row>
    <row r="78" spans="1:21" x14ac:dyDescent="0.25">
      <c r="A78" t="s">
        <v>130</v>
      </c>
      <c r="B78">
        <v>2797.84</v>
      </c>
      <c r="C78">
        <v>0</v>
      </c>
      <c r="D78" t="s">
        <v>620</v>
      </c>
      <c r="E78" t="s">
        <v>1</v>
      </c>
      <c r="F78">
        <v>0</v>
      </c>
      <c r="I78">
        <v>45</v>
      </c>
      <c r="J78" t="s">
        <v>192</v>
      </c>
      <c r="K78" t="s">
        <v>22</v>
      </c>
      <c r="L78">
        <v>25.68</v>
      </c>
      <c r="M78">
        <v>100</v>
      </c>
      <c r="N78">
        <v>0</v>
      </c>
      <c r="O78">
        <v>0</v>
      </c>
      <c r="P78">
        <v>0</v>
      </c>
      <c r="Q78">
        <v>0</v>
      </c>
      <c r="R78" t="s">
        <v>0</v>
      </c>
      <c r="S78" t="s">
        <v>1</v>
      </c>
      <c r="U78">
        <v>12</v>
      </c>
    </row>
    <row r="79" spans="1:21" x14ac:dyDescent="0.25">
      <c r="A79" t="s">
        <v>131</v>
      </c>
      <c r="B79">
        <v>2813.46</v>
      </c>
      <c r="C79">
        <v>0</v>
      </c>
      <c r="D79" t="s">
        <v>620</v>
      </c>
      <c r="E79" t="s">
        <v>634</v>
      </c>
      <c r="F79">
        <v>0</v>
      </c>
      <c r="I79">
        <v>52</v>
      </c>
      <c r="J79" t="s">
        <v>15</v>
      </c>
      <c r="K79" t="s">
        <v>193</v>
      </c>
      <c r="L79">
        <v>13.67</v>
      </c>
      <c r="M79">
        <v>130</v>
      </c>
      <c r="N79">
        <v>0</v>
      </c>
      <c r="O79">
        <v>0</v>
      </c>
      <c r="P79">
        <v>0</v>
      </c>
      <c r="Q79">
        <v>0</v>
      </c>
      <c r="R79" t="s">
        <v>0</v>
      </c>
      <c r="S79" t="s">
        <v>1</v>
      </c>
      <c r="U79">
        <v>14</v>
      </c>
    </row>
    <row r="80" spans="1:21" x14ac:dyDescent="0.25">
      <c r="A80" t="s">
        <v>132</v>
      </c>
      <c r="B80">
        <v>2813.46</v>
      </c>
      <c r="C80">
        <v>0</v>
      </c>
      <c r="D80" t="s">
        <v>620</v>
      </c>
      <c r="E80" t="s">
        <v>635</v>
      </c>
      <c r="F80">
        <v>0</v>
      </c>
      <c r="I80">
        <v>53</v>
      </c>
      <c r="J80" t="s">
        <v>193</v>
      </c>
      <c r="K80" t="s">
        <v>194</v>
      </c>
      <c r="L80">
        <v>16.695</v>
      </c>
      <c r="M80">
        <v>130</v>
      </c>
      <c r="N80">
        <v>0</v>
      </c>
      <c r="O80">
        <v>0</v>
      </c>
      <c r="P80">
        <v>0</v>
      </c>
      <c r="Q80">
        <v>0</v>
      </c>
      <c r="R80" t="s">
        <v>0</v>
      </c>
      <c r="S80" t="s">
        <v>1</v>
      </c>
      <c r="U80">
        <v>14</v>
      </c>
    </row>
    <row r="81" spans="1:21" x14ac:dyDescent="0.25">
      <c r="A81" t="s">
        <v>133</v>
      </c>
      <c r="B81">
        <v>2813.46</v>
      </c>
      <c r="C81">
        <v>0</v>
      </c>
      <c r="D81" t="s">
        <v>620</v>
      </c>
      <c r="E81" t="s">
        <v>634</v>
      </c>
      <c r="F81">
        <v>0</v>
      </c>
      <c r="I81">
        <v>54</v>
      </c>
      <c r="J81" t="s">
        <v>194</v>
      </c>
      <c r="K81" t="s">
        <v>195</v>
      </c>
      <c r="L81">
        <v>114.7</v>
      </c>
      <c r="M81">
        <v>130</v>
      </c>
      <c r="N81">
        <v>0</v>
      </c>
      <c r="O81">
        <v>0</v>
      </c>
      <c r="P81">
        <v>0</v>
      </c>
      <c r="Q81">
        <v>0</v>
      </c>
      <c r="R81" t="s">
        <v>0</v>
      </c>
      <c r="S81" t="s">
        <v>1</v>
      </c>
      <c r="U81">
        <v>14</v>
      </c>
    </row>
    <row r="82" spans="1:21" x14ac:dyDescent="0.25">
      <c r="A82" t="s">
        <v>134</v>
      </c>
      <c r="B82">
        <v>2813.46</v>
      </c>
      <c r="C82">
        <v>0</v>
      </c>
      <c r="D82" t="s">
        <v>620</v>
      </c>
      <c r="E82" t="s">
        <v>635</v>
      </c>
      <c r="F82">
        <v>0</v>
      </c>
      <c r="I82" t="s">
        <v>196</v>
      </c>
      <c r="J82" t="s">
        <v>195</v>
      </c>
      <c r="K82" t="s">
        <v>197</v>
      </c>
      <c r="L82">
        <v>27.24</v>
      </c>
      <c r="M82">
        <v>130</v>
      </c>
      <c r="N82">
        <v>0</v>
      </c>
      <c r="O82">
        <v>0</v>
      </c>
      <c r="P82">
        <v>0</v>
      </c>
      <c r="Q82">
        <v>0</v>
      </c>
      <c r="R82" t="s">
        <v>191</v>
      </c>
      <c r="S82" t="s">
        <v>1</v>
      </c>
      <c r="U82">
        <v>14</v>
      </c>
    </row>
    <row r="83" spans="1:21" x14ac:dyDescent="0.25">
      <c r="A83" t="s">
        <v>135</v>
      </c>
      <c r="B83">
        <v>2820.27</v>
      </c>
      <c r="C83">
        <v>0</v>
      </c>
      <c r="D83" t="s">
        <v>620</v>
      </c>
      <c r="E83" t="s">
        <v>636</v>
      </c>
      <c r="F83">
        <v>0</v>
      </c>
      <c r="I83" t="s">
        <v>198</v>
      </c>
      <c r="J83" t="s">
        <v>199</v>
      </c>
      <c r="K83" t="s">
        <v>200</v>
      </c>
      <c r="L83">
        <v>20.172000000000001</v>
      </c>
      <c r="M83">
        <v>130</v>
      </c>
      <c r="N83">
        <v>0</v>
      </c>
      <c r="O83">
        <v>0</v>
      </c>
      <c r="P83">
        <v>0</v>
      </c>
      <c r="Q83">
        <v>0</v>
      </c>
      <c r="R83" t="s">
        <v>191</v>
      </c>
      <c r="S83" t="s">
        <v>1</v>
      </c>
      <c r="U83">
        <v>17.43</v>
      </c>
    </row>
    <row r="84" spans="1:21" x14ac:dyDescent="0.25">
      <c r="A84" t="s">
        <v>136</v>
      </c>
      <c r="B84">
        <v>2792.37</v>
      </c>
      <c r="C84">
        <v>0</v>
      </c>
      <c r="D84" t="s">
        <v>620</v>
      </c>
      <c r="E84" t="s">
        <v>624</v>
      </c>
      <c r="F84">
        <v>0</v>
      </c>
      <c r="I84">
        <v>56</v>
      </c>
      <c r="J84" t="s">
        <v>200</v>
      </c>
      <c r="K84" t="s">
        <v>145</v>
      </c>
      <c r="L84">
        <v>22.96</v>
      </c>
      <c r="M84">
        <v>130</v>
      </c>
      <c r="N84">
        <v>0</v>
      </c>
      <c r="O84">
        <v>0</v>
      </c>
      <c r="P84">
        <v>0</v>
      </c>
      <c r="Q84">
        <v>0</v>
      </c>
      <c r="R84" t="s">
        <v>0</v>
      </c>
      <c r="S84" t="s">
        <v>1</v>
      </c>
      <c r="U84">
        <v>17.43</v>
      </c>
    </row>
    <row r="85" spans="1:21" x14ac:dyDescent="0.25">
      <c r="A85" t="s">
        <v>137</v>
      </c>
      <c r="B85">
        <v>2601</v>
      </c>
      <c r="C85">
        <v>300</v>
      </c>
      <c r="D85">
        <v>4</v>
      </c>
      <c r="E85" t="s">
        <v>1</v>
      </c>
      <c r="F85">
        <v>0</v>
      </c>
      <c r="I85" t="s">
        <v>201</v>
      </c>
      <c r="J85" t="s">
        <v>197</v>
      </c>
      <c r="K85" t="s">
        <v>199</v>
      </c>
      <c r="L85">
        <v>87.32</v>
      </c>
      <c r="M85">
        <v>130</v>
      </c>
      <c r="N85">
        <v>0</v>
      </c>
      <c r="O85">
        <v>0</v>
      </c>
      <c r="P85">
        <v>0</v>
      </c>
      <c r="Q85">
        <v>0</v>
      </c>
      <c r="R85" t="s">
        <v>191</v>
      </c>
      <c r="S85" t="s">
        <v>1</v>
      </c>
      <c r="U85">
        <v>17.43</v>
      </c>
    </row>
    <row r="86" spans="1:21" x14ac:dyDescent="0.25">
      <c r="A86" t="s">
        <v>138</v>
      </c>
      <c r="B86">
        <v>2601</v>
      </c>
      <c r="C86">
        <v>0</v>
      </c>
      <c r="D86" t="s">
        <v>620</v>
      </c>
      <c r="E86" t="s">
        <v>1</v>
      </c>
      <c r="F86">
        <v>0</v>
      </c>
      <c r="I86" t="s">
        <v>202</v>
      </c>
      <c r="J86" t="s">
        <v>203</v>
      </c>
      <c r="K86" t="s">
        <v>204</v>
      </c>
      <c r="L86">
        <v>77.61</v>
      </c>
      <c r="M86">
        <v>130</v>
      </c>
      <c r="N86">
        <v>0</v>
      </c>
      <c r="O86">
        <v>0</v>
      </c>
      <c r="P86">
        <v>0</v>
      </c>
      <c r="Q86">
        <v>0</v>
      </c>
      <c r="R86" t="s">
        <v>0</v>
      </c>
      <c r="S86" t="s">
        <v>205</v>
      </c>
      <c r="U86">
        <v>17.43</v>
      </c>
    </row>
    <row r="87" spans="1:21" x14ac:dyDescent="0.25">
      <c r="A87" t="s">
        <v>637</v>
      </c>
      <c r="B87">
        <v>2604.3200000000002</v>
      </c>
      <c r="C87">
        <v>0</v>
      </c>
      <c r="D87" t="s">
        <v>620</v>
      </c>
      <c r="E87" t="s">
        <v>1</v>
      </c>
      <c r="F87">
        <v>0</v>
      </c>
      <c r="I87" t="s">
        <v>206</v>
      </c>
      <c r="J87">
        <v>1</v>
      </c>
      <c r="K87" t="s">
        <v>207</v>
      </c>
      <c r="L87">
        <v>20</v>
      </c>
      <c r="M87">
        <v>130</v>
      </c>
      <c r="N87">
        <v>0</v>
      </c>
      <c r="O87">
        <v>0</v>
      </c>
      <c r="P87">
        <v>0</v>
      </c>
      <c r="Q87">
        <v>0</v>
      </c>
      <c r="R87" t="s">
        <v>0</v>
      </c>
      <c r="S87" t="s">
        <v>1</v>
      </c>
      <c r="U87">
        <v>17.43</v>
      </c>
    </row>
    <row r="88" spans="1:21" x14ac:dyDescent="0.25">
      <c r="A88" t="s">
        <v>139</v>
      </c>
      <c r="B88">
        <v>2601</v>
      </c>
      <c r="C88">
        <v>0</v>
      </c>
      <c r="D88" t="s">
        <v>620</v>
      </c>
      <c r="E88" t="s">
        <v>1</v>
      </c>
      <c r="F88">
        <v>0</v>
      </c>
      <c r="I88" t="s">
        <v>208</v>
      </c>
      <c r="J88" t="s">
        <v>209</v>
      </c>
      <c r="K88" t="s">
        <v>203</v>
      </c>
      <c r="L88">
        <v>60.37</v>
      </c>
      <c r="M88">
        <v>130</v>
      </c>
      <c r="N88">
        <v>0</v>
      </c>
      <c r="O88">
        <v>0</v>
      </c>
      <c r="P88">
        <v>0</v>
      </c>
      <c r="Q88">
        <v>0</v>
      </c>
      <c r="R88" t="s">
        <v>0</v>
      </c>
      <c r="S88" t="s">
        <v>1</v>
      </c>
      <c r="U88">
        <v>17.43</v>
      </c>
    </row>
    <row r="89" spans="1:21" x14ac:dyDescent="0.25">
      <c r="A89" t="s">
        <v>638</v>
      </c>
      <c r="B89">
        <v>2791</v>
      </c>
      <c r="C89">
        <v>0</v>
      </c>
      <c r="D89" t="s">
        <v>620</v>
      </c>
      <c r="E89" t="s">
        <v>1</v>
      </c>
      <c r="I89" t="s">
        <v>210</v>
      </c>
      <c r="J89" t="s">
        <v>190</v>
      </c>
      <c r="K89">
        <v>1</v>
      </c>
      <c r="L89">
        <v>1000</v>
      </c>
      <c r="M89">
        <v>100</v>
      </c>
      <c r="N89">
        <v>0</v>
      </c>
      <c r="O89">
        <v>0</v>
      </c>
      <c r="P89">
        <v>0</v>
      </c>
      <c r="Q89">
        <v>0</v>
      </c>
      <c r="R89" t="s">
        <v>0</v>
      </c>
      <c r="S89" t="s">
        <v>1</v>
      </c>
      <c r="U89">
        <v>18</v>
      </c>
    </row>
    <row r="90" spans="1:21" x14ac:dyDescent="0.25">
      <c r="A90" t="s">
        <v>639</v>
      </c>
      <c r="B90">
        <v>2558.4</v>
      </c>
      <c r="C90">
        <v>0</v>
      </c>
      <c r="D90" t="s">
        <v>620</v>
      </c>
      <c r="E90" t="s">
        <v>1</v>
      </c>
      <c r="I90">
        <v>48</v>
      </c>
      <c r="J90" t="s">
        <v>207</v>
      </c>
      <c r="K90" t="s">
        <v>209</v>
      </c>
      <c r="L90">
        <v>10</v>
      </c>
      <c r="M90">
        <v>100</v>
      </c>
      <c r="N90">
        <v>0</v>
      </c>
      <c r="O90">
        <v>0</v>
      </c>
      <c r="P90">
        <v>0</v>
      </c>
      <c r="Q90">
        <v>0</v>
      </c>
      <c r="R90" t="s">
        <v>191</v>
      </c>
      <c r="S90" t="s">
        <v>1</v>
      </c>
      <c r="U90">
        <v>18</v>
      </c>
    </row>
    <row r="91" spans="1:21" x14ac:dyDescent="0.25">
      <c r="A91" t="s">
        <v>640</v>
      </c>
      <c r="B91">
        <v>2571.52</v>
      </c>
      <c r="C91">
        <v>0</v>
      </c>
      <c r="D91" t="s">
        <v>620</v>
      </c>
      <c r="E91" t="s">
        <v>1</v>
      </c>
    </row>
    <row r="92" spans="1:21" x14ac:dyDescent="0.25">
      <c r="A92" t="s">
        <v>641</v>
      </c>
      <c r="B92">
        <v>2568.2399999999998</v>
      </c>
      <c r="C92">
        <v>0</v>
      </c>
      <c r="D92" t="s">
        <v>620</v>
      </c>
      <c r="E92" t="s">
        <v>1</v>
      </c>
    </row>
    <row r="93" spans="1:21" x14ac:dyDescent="0.25">
      <c r="A93" t="s">
        <v>642</v>
      </c>
      <c r="B93">
        <v>2604.3200000000002</v>
      </c>
      <c r="C93">
        <v>0</v>
      </c>
      <c r="D93" t="s">
        <v>620</v>
      </c>
      <c r="E93" t="s">
        <v>1</v>
      </c>
    </row>
    <row r="94" spans="1:21" x14ac:dyDescent="0.25">
      <c r="A94" t="s">
        <v>643</v>
      </c>
      <c r="B94">
        <v>2574.8000000000002</v>
      </c>
      <c r="C94">
        <v>0</v>
      </c>
      <c r="D94" t="s">
        <v>620</v>
      </c>
      <c r="E94" t="s">
        <v>1</v>
      </c>
    </row>
    <row r="95" spans="1:21" x14ac:dyDescent="0.25">
      <c r="A95" t="s">
        <v>644</v>
      </c>
      <c r="B95">
        <v>2578.08</v>
      </c>
      <c r="C95">
        <v>0</v>
      </c>
      <c r="D95" t="s">
        <v>620</v>
      </c>
      <c r="E95" t="s">
        <v>1</v>
      </c>
    </row>
    <row r="96" spans="1:21" x14ac:dyDescent="0.25">
      <c r="A96" t="s">
        <v>645</v>
      </c>
      <c r="B96">
        <v>2564.96</v>
      </c>
      <c r="C96">
        <v>0</v>
      </c>
      <c r="D96" t="s">
        <v>620</v>
      </c>
      <c r="E96" t="s">
        <v>1</v>
      </c>
    </row>
    <row r="97" spans="1:5" x14ac:dyDescent="0.25">
      <c r="A97" t="s">
        <v>646</v>
      </c>
      <c r="B97">
        <v>2574.8000000000002</v>
      </c>
      <c r="C97">
        <v>0</v>
      </c>
      <c r="D97" t="s">
        <v>620</v>
      </c>
      <c r="E97" t="s">
        <v>1</v>
      </c>
    </row>
    <row r="98" spans="1:5" x14ac:dyDescent="0.25">
      <c r="A98" t="s">
        <v>647</v>
      </c>
      <c r="B98">
        <v>2558.4</v>
      </c>
      <c r="C98">
        <v>0</v>
      </c>
      <c r="D98" t="s">
        <v>620</v>
      </c>
      <c r="E98" t="s">
        <v>1</v>
      </c>
    </row>
    <row r="99" spans="1:5" x14ac:dyDescent="0.25">
      <c r="A99" t="s">
        <v>648</v>
      </c>
      <c r="B99">
        <v>2568.2399999999998</v>
      </c>
      <c r="C99">
        <v>0</v>
      </c>
      <c r="D99" t="s">
        <v>620</v>
      </c>
      <c r="E99" t="s">
        <v>1</v>
      </c>
    </row>
    <row r="100" spans="1:5" x14ac:dyDescent="0.25">
      <c r="A100" t="s">
        <v>649</v>
      </c>
      <c r="B100">
        <v>2568.2399999999998</v>
      </c>
      <c r="C100">
        <v>0</v>
      </c>
      <c r="D100" t="s">
        <v>620</v>
      </c>
      <c r="E100" t="s">
        <v>1</v>
      </c>
    </row>
    <row r="101" spans="1:5" x14ac:dyDescent="0.25">
      <c r="A101" t="s">
        <v>650</v>
      </c>
      <c r="B101">
        <v>2571.52</v>
      </c>
      <c r="C101">
        <v>0</v>
      </c>
      <c r="D101" t="s">
        <v>620</v>
      </c>
      <c r="E101" t="s">
        <v>1</v>
      </c>
    </row>
    <row r="102" spans="1:5" x14ac:dyDescent="0.25">
      <c r="A102" t="s">
        <v>651</v>
      </c>
      <c r="B102">
        <v>2568.2399999999998</v>
      </c>
      <c r="C102">
        <v>0</v>
      </c>
      <c r="D102" t="s">
        <v>620</v>
      </c>
      <c r="E102" t="s">
        <v>1</v>
      </c>
    </row>
    <row r="103" spans="1:5" x14ac:dyDescent="0.25">
      <c r="A103" t="s">
        <v>652</v>
      </c>
      <c r="B103">
        <v>2584.64</v>
      </c>
      <c r="C103">
        <v>0</v>
      </c>
      <c r="D103" t="s">
        <v>620</v>
      </c>
      <c r="E103" t="s">
        <v>1</v>
      </c>
    </row>
    <row r="104" spans="1:5" x14ac:dyDescent="0.25">
      <c r="A104" t="s">
        <v>653</v>
      </c>
      <c r="B104">
        <v>2584.64</v>
      </c>
      <c r="C104">
        <v>0</v>
      </c>
      <c r="D104" t="s">
        <v>620</v>
      </c>
      <c r="E104" t="s">
        <v>1</v>
      </c>
    </row>
    <row r="105" spans="1:5" x14ac:dyDescent="0.25">
      <c r="A105" t="s">
        <v>654</v>
      </c>
      <c r="B105">
        <v>2574.8000000000002</v>
      </c>
      <c r="C105">
        <v>0</v>
      </c>
      <c r="D105" t="s">
        <v>620</v>
      </c>
      <c r="E105" t="s">
        <v>1</v>
      </c>
    </row>
    <row r="106" spans="1:5" x14ac:dyDescent="0.25">
      <c r="A106" t="s">
        <v>655</v>
      </c>
      <c r="B106">
        <v>2568.2399999999998</v>
      </c>
      <c r="C106">
        <v>0</v>
      </c>
      <c r="D106" t="s">
        <v>620</v>
      </c>
      <c r="E106" t="s">
        <v>1</v>
      </c>
    </row>
    <row r="107" spans="1:5" x14ac:dyDescent="0.25">
      <c r="A107" t="s">
        <v>656</v>
      </c>
      <c r="B107">
        <v>2558.4</v>
      </c>
      <c r="C107">
        <v>0</v>
      </c>
      <c r="D107" t="s">
        <v>620</v>
      </c>
      <c r="E107" t="s">
        <v>1</v>
      </c>
    </row>
    <row r="108" spans="1:5" x14ac:dyDescent="0.25">
      <c r="A108" t="s">
        <v>657</v>
      </c>
      <c r="B108">
        <v>2591.1999999999998</v>
      </c>
      <c r="C108">
        <v>0</v>
      </c>
      <c r="D108" t="s">
        <v>620</v>
      </c>
      <c r="E108" t="s">
        <v>1</v>
      </c>
    </row>
    <row r="109" spans="1:5" x14ac:dyDescent="0.25">
      <c r="A109" t="s">
        <v>658</v>
      </c>
      <c r="B109">
        <v>2587.92</v>
      </c>
      <c r="C109">
        <v>0</v>
      </c>
      <c r="D109" t="s">
        <v>620</v>
      </c>
      <c r="E109" t="s">
        <v>1</v>
      </c>
    </row>
    <row r="110" spans="1:5" x14ac:dyDescent="0.25">
      <c r="A110" t="s">
        <v>659</v>
      </c>
      <c r="B110">
        <v>2587.92</v>
      </c>
      <c r="C110">
        <v>0</v>
      </c>
      <c r="D110" t="s">
        <v>620</v>
      </c>
      <c r="E110" t="s">
        <v>1</v>
      </c>
    </row>
    <row r="111" spans="1:5" x14ac:dyDescent="0.25">
      <c r="A111" t="s">
        <v>660</v>
      </c>
      <c r="B111">
        <v>2584.64</v>
      </c>
      <c r="C111">
        <v>0</v>
      </c>
      <c r="D111" t="s">
        <v>620</v>
      </c>
      <c r="E111" t="s">
        <v>1</v>
      </c>
    </row>
    <row r="112" spans="1:5" x14ac:dyDescent="0.25">
      <c r="A112" t="s">
        <v>661</v>
      </c>
      <c r="B112">
        <v>2597.7600000000002</v>
      </c>
      <c r="C112">
        <v>0</v>
      </c>
      <c r="D112" t="s">
        <v>620</v>
      </c>
      <c r="E112" t="s">
        <v>1</v>
      </c>
    </row>
    <row r="113" spans="1:5" x14ac:dyDescent="0.25">
      <c r="A113" t="s">
        <v>662</v>
      </c>
      <c r="B113">
        <v>2587.92</v>
      </c>
      <c r="C113">
        <v>0</v>
      </c>
      <c r="D113" t="s">
        <v>620</v>
      </c>
      <c r="E113" t="s">
        <v>1</v>
      </c>
    </row>
    <row r="114" spans="1:5" x14ac:dyDescent="0.25">
      <c r="A114" t="s">
        <v>663</v>
      </c>
      <c r="B114">
        <v>2597.7600000000002</v>
      </c>
      <c r="C114">
        <v>0</v>
      </c>
      <c r="D114" t="s">
        <v>620</v>
      </c>
      <c r="E114" t="s">
        <v>1</v>
      </c>
    </row>
    <row r="115" spans="1:5" x14ac:dyDescent="0.25">
      <c r="A115" t="s">
        <v>664</v>
      </c>
      <c r="B115">
        <v>2594.48</v>
      </c>
      <c r="C115">
        <v>0</v>
      </c>
      <c r="D115" t="s">
        <v>620</v>
      </c>
      <c r="E115" t="s">
        <v>1</v>
      </c>
    </row>
    <row r="116" spans="1:5" x14ac:dyDescent="0.25">
      <c r="A116" t="s">
        <v>665</v>
      </c>
      <c r="B116">
        <v>2601.04</v>
      </c>
      <c r="C116">
        <v>0</v>
      </c>
      <c r="D116" t="s">
        <v>620</v>
      </c>
      <c r="E116" t="s">
        <v>1</v>
      </c>
    </row>
    <row r="117" spans="1:5" x14ac:dyDescent="0.25">
      <c r="A117" t="s">
        <v>666</v>
      </c>
      <c r="B117">
        <v>2607.6</v>
      </c>
      <c r="C117">
        <v>0</v>
      </c>
      <c r="D117" t="s">
        <v>620</v>
      </c>
      <c r="E117" t="s">
        <v>1</v>
      </c>
    </row>
    <row r="118" spans="1:5" x14ac:dyDescent="0.25">
      <c r="A118" t="s">
        <v>667</v>
      </c>
      <c r="B118">
        <v>2614.16</v>
      </c>
      <c r="C118">
        <v>0</v>
      </c>
      <c r="D118" t="s">
        <v>620</v>
      </c>
      <c r="E118" t="s">
        <v>1</v>
      </c>
    </row>
    <row r="119" spans="1:5" x14ac:dyDescent="0.25">
      <c r="A119" t="s">
        <v>668</v>
      </c>
      <c r="B119">
        <v>2610.88</v>
      </c>
      <c r="C119">
        <v>0</v>
      </c>
      <c r="D119" t="s">
        <v>620</v>
      </c>
      <c r="E119" t="s">
        <v>1</v>
      </c>
    </row>
    <row r="120" spans="1:5" x14ac:dyDescent="0.25">
      <c r="A120" t="s">
        <v>669</v>
      </c>
      <c r="B120">
        <v>2617.44</v>
      </c>
      <c r="C120">
        <v>0</v>
      </c>
      <c r="D120" t="s">
        <v>620</v>
      </c>
      <c r="E120" t="s">
        <v>1</v>
      </c>
    </row>
    <row r="121" spans="1:5" x14ac:dyDescent="0.25">
      <c r="A121" t="s">
        <v>670</v>
      </c>
      <c r="B121">
        <v>2607.6</v>
      </c>
      <c r="C121">
        <v>0</v>
      </c>
      <c r="D121" t="s">
        <v>620</v>
      </c>
      <c r="E121" t="s">
        <v>1</v>
      </c>
    </row>
    <row r="122" spans="1:5" x14ac:dyDescent="0.25">
      <c r="A122" t="s">
        <v>671</v>
      </c>
      <c r="B122">
        <v>2610.88</v>
      </c>
      <c r="C122">
        <v>0</v>
      </c>
      <c r="D122" t="s">
        <v>620</v>
      </c>
      <c r="E122" t="s">
        <v>1</v>
      </c>
    </row>
    <row r="123" spans="1:5" x14ac:dyDescent="0.25">
      <c r="A123" t="s">
        <v>672</v>
      </c>
      <c r="B123">
        <v>2601.04</v>
      </c>
      <c r="C123">
        <v>0</v>
      </c>
      <c r="D123" t="s">
        <v>620</v>
      </c>
      <c r="E123" t="s">
        <v>1</v>
      </c>
    </row>
    <row r="124" spans="1:5" x14ac:dyDescent="0.25">
      <c r="A124" t="s">
        <v>673</v>
      </c>
      <c r="B124">
        <v>2617.44</v>
      </c>
      <c r="C124">
        <v>0</v>
      </c>
      <c r="D124" t="s">
        <v>620</v>
      </c>
      <c r="E124" t="s">
        <v>1</v>
      </c>
    </row>
    <row r="125" spans="1:5" x14ac:dyDescent="0.25">
      <c r="A125" t="s">
        <v>674</v>
      </c>
      <c r="B125">
        <v>2627.28</v>
      </c>
      <c r="C125">
        <v>0</v>
      </c>
      <c r="D125" t="s">
        <v>620</v>
      </c>
      <c r="E125" t="s">
        <v>1</v>
      </c>
    </row>
    <row r="126" spans="1:5" x14ac:dyDescent="0.25">
      <c r="A126" t="s">
        <v>675</v>
      </c>
      <c r="B126">
        <v>2633.84</v>
      </c>
      <c r="C126">
        <v>0</v>
      </c>
      <c r="D126" t="s">
        <v>620</v>
      </c>
      <c r="E126" t="s">
        <v>1</v>
      </c>
    </row>
    <row r="127" spans="1:5" x14ac:dyDescent="0.25">
      <c r="A127" t="s">
        <v>676</v>
      </c>
      <c r="B127">
        <v>2650.24</v>
      </c>
      <c r="C127">
        <v>0</v>
      </c>
      <c r="D127" t="s">
        <v>620</v>
      </c>
      <c r="E127" t="s">
        <v>1</v>
      </c>
    </row>
    <row r="128" spans="1:5" x14ac:dyDescent="0.25">
      <c r="A128" t="s">
        <v>677</v>
      </c>
      <c r="B128">
        <v>2650.24</v>
      </c>
      <c r="C128">
        <v>0</v>
      </c>
      <c r="D128" t="s">
        <v>620</v>
      </c>
      <c r="E128" t="s">
        <v>1</v>
      </c>
    </row>
    <row r="129" spans="1:5" x14ac:dyDescent="0.25">
      <c r="A129" t="s">
        <v>678</v>
      </c>
      <c r="B129">
        <v>2663.36</v>
      </c>
      <c r="C129">
        <v>0</v>
      </c>
      <c r="D129" t="s">
        <v>620</v>
      </c>
      <c r="E129" t="s">
        <v>1</v>
      </c>
    </row>
    <row r="130" spans="1:5" x14ac:dyDescent="0.25">
      <c r="A130" t="s">
        <v>679</v>
      </c>
      <c r="B130">
        <v>2666.64</v>
      </c>
      <c r="C130">
        <v>0</v>
      </c>
      <c r="D130" t="s">
        <v>620</v>
      </c>
      <c r="E130" t="s">
        <v>1</v>
      </c>
    </row>
    <row r="131" spans="1:5" x14ac:dyDescent="0.25">
      <c r="A131" t="s">
        <v>680</v>
      </c>
      <c r="B131">
        <v>2676.48</v>
      </c>
      <c r="C131">
        <v>0</v>
      </c>
      <c r="D131" t="s">
        <v>620</v>
      </c>
      <c r="E131" t="s">
        <v>1</v>
      </c>
    </row>
    <row r="132" spans="1:5" x14ac:dyDescent="0.25">
      <c r="A132" t="s">
        <v>681</v>
      </c>
      <c r="B132">
        <v>2683.04</v>
      </c>
      <c r="C132">
        <v>0</v>
      </c>
      <c r="D132" t="s">
        <v>620</v>
      </c>
      <c r="E132" t="s">
        <v>1</v>
      </c>
    </row>
    <row r="133" spans="1:5" x14ac:dyDescent="0.25">
      <c r="A133" t="s">
        <v>682</v>
      </c>
      <c r="B133">
        <v>2689.6</v>
      </c>
      <c r="C133">
        <v>0</v>
      </c>
      <c r="D133" t="s">
        <v>620</v>
      </c>
      <c r="E133" t="s">
        <v>1</v>
      </c>
    </row>
    <row r="134" spans="1:5" x14ac:dyDescent="0.25">
      <c r="A134" t="s">
        <v>683</v>
      </c>
      <c r="B134">
        <v>2699.44</v>
      </c>
      <c r="C134">
        <v>0</v>
      </c>
      <c r="D134" t="s">
        <v>620</v>
      </c>
      <c r="E134" t="s">
        <v>1</v>
      </c>
    </row>
    <row r="135" spans="1:5" x14ac:dyDescent="0.25">
      <c r="A135" t="s">
        <v>684</v>
      </c>
      <c r="B135">
        <v>2719.12</v>
      </c>
      <c r="C135">
        <v>0</v>
      </c>
      <c r="D135" t="s">
        <v>620</v>
      </c>
      <c r="E135" t="s">
        <v>1</v>
      </c>
    </row>
    <row r="136" spans="1:5" x14ac:dyDescent="0.25">
      <c r="A136" t="s">
        <v>685</v>
      </c>
      <c r="B136">
        <v>2725.68</v>
      </c>
      <c r="C136">
        <v>0</v>
      </c>
      <c r="D136" t="s">
        <v>620</v>
      </c>
      <c r="E136" t="s">
        <v>1</v>
      </c>
    </row>
    <row r="137" spans="1:5" x14ac:dyDescent="0.25">
      <c r="A137" t="s">
        <v>686</v>
      </c>
      <c r="B137">
        <v>2725.68</v>
      </c>
      <c r="C137">
        <v>0</v>
      </c>
      <c r="D137" t="s">
        <v>620</v>
      </c>
      <c r="E137" t="s">
        <v>1</v>
      </c>
    </row>
    <row r="138" spans="1:5" x14ac:dyDescent="0.25">
      <c r="A138" t="s">
        <v>687</v>
      </c>
      <c r="B138">
        <v>2738.8</v>
      </c>
      <c r="C138">
        <v>0</v>
      </c>
      <c r="D138" t="s">
        <v>620</v>
      </c>
      <c r="E138" t="s">
        <v>1</v>
      </c>
    </row>
    <row r="139" spans="1:5" x14ac:dyDescent="0.25">
      <c r="A139" t="s">
        <v>688</v>
      </c>
      <c r="B139">
        <v>2761.76</v>
      </c>
      <c r="C139">
        <v>0</v>
      </c>
      <c r="D139" t="s">
        <v>620</v>
      </c>
      <c r="E139" t="s">
        <v>1</v>
      </c>
    </row>
    <row r="140" spans="1:5" x14ac:dyDescent="0.25">
      <c r="A140" t="s">
        <v>689</v>
      </c>
      <c r="B140">
        <v>2768.32</v>
      </c>
      <c r="C140">
        <v>0</v>
      </c>
      <c r="D140" t="s">
        <v>620</v>
      </c>
      <c r="E140" t="s">
        <v>1</v>
      </c>
    </row>
    <row r="141" spans="1:5" x14ac:dyDescent="0.25">
      <c r="A141" t="s">
        <v>690</v>
      </c>
      <c r="B141">
        <v>2768.32</v>
      </c>
      <c r="C141">
        <v>0</v>
      </c>
      <c r="D141" t="s">
        <v>620</v>
      </c>
      <c r="E141" t="s">
        <v>1</v>
      </c>
    </row>
    <row r="142" spans="1:5" x14ac:dyDescent="0.25">
      <c r="A142" t="s">
        <v>691</v>
      </c>
      <c r="B142">
        <v>2755.2</v>
      </c>
      <c r="C142">
        <v>0</v>
      </c>
      <c r="D142" t="s">
        <v>620</v>
      </c>
      <c r="E142" t="s">
        <v>1</v>
      </c>
    </row>
    <row r="143" spans="1:5" x14ac:dyDescent="0.25">
      <c r="A143" t="s">
        <v>692</v>
      </c>
      <c r="B143">
        <v>2761.76</v>
      </c>
      <c r="C143">
        <v>0</v>
      </c>
      <c r="D143" t="s">
        <v>620</v>
      </c>
      <c r="E143" t="s">
        <v>1</v>
      </c>
    </row>
    <row r="144" spans="1:5" x14ac:dyDescent="0.25">
      <c r="A144" t="s">
        <v>693</v>
      </c>
      <c r="B144">
        <v>2774.88</v>
      </c>
      <c r="C144">
        <v>0</v>
      </c>
      <c r="D144" t="s">
        <v>620</v>
      </c>
      <c r="E144" t="s">
        <v>1</v>
      </c>
    </row>
    <row r="145" spans="1:5" x14ac:dyDescent="0.25">
      <c r="A145" t="s">
        <v>694</v>
      </c>
      <c r="B145">
        <v>2771.6</v>
      </c>
      <c r="C145">
        <v>0</v>
      </c>
      <c r="D145" t="s">
        <v>620</v>
      </c>
      <c r="E145" t="s">
        <v>1</v>
      </c>
    </row>
    <row r="146" spans="1:5" x14ac:dyDescent="0.25">
      <c r="A146" t="s">
        <v>695</v>
      </c>
      <c r="B146">
        <v>2774.88</v>
      </c>
      <c r="C146">
        <v>0</v>
      </c>
      <c r="D146" t="s">
        <v>620</v>
      </c>
      <c r="E146" t="s">
        <v>1</v>
      </c>
    </row>
    <row r="147" spans="1:5" x14ac:dyDescent="0.25">
      <c r="A147" t="s">
        <v>696</v>
      </c>
      <c r="B147">
        <v>2778.16</v>
      </c>
      <c r="C147">
        <v>0</v>
      </c>
      <c r="D147" t="s">
        <v>620</v>
      </c>
      <c r="E147" t="s">
        <v>1</v>
      </c>
    </row>
    <row r="148" spans="1:5" x14ac:dyDescent="0.25">
      <c r="A148" t="s">
        <v>697</v>
      </c>
      <c r="B148">
        <v>2791.28</v>
      </c>
      <c r="C148">
        <v>0</v>
      </c>
      <c r="D148" t="s">
        <v>620</v>
      </c>
      <c r="E148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04"/>
  <sheetViews>
    <sheetView tabSelected="1" topLeftCell="A38" workbookViewId="0">
      <selection activeCell="E54" sqref="E54"/>
    </sheetView>
  </sheetViews>
  <sheetFormatPr defaultRowHeight="15" x14ac:dyDescent="0.25"/>
  <sheetData>
    <row r="2" spans="1:17" x14ac:dyDescent="0.25">
      <c r="A2" t="s">
        <v>221</v>
      </c>
      <c r="B2">
        <v>2558.3999999999996</v>
      </c>
      <c r="C2" t="str">
        <f>IF(A2=D2,"yes","no")</f>
        <v>yes</v>
      </c>
      <c r="D2" t="s">
        <v>221</v>
      </c>
      <c r="E2">
        <v>641822.89399999997</v>
      </c>
      <c r="F2">
        <v>3474128.9010000001</v>
      </c>
      <c r="J2" t="s">
        <v>520</v>
      </c>
      <c r="K2" t="s">
        <v>461</v>
      </c>
      <c r="L2" t="s">
        <v>521</v>
      </c>
      <c r="M2">
        <v>1410.3999999999999</v>
      </c>
      <c r="N2">
        <v>18</v>
      </c>
      <c r="O2">
        <v>135</v>
      </c>
      <c r="P2">
        <v>0</v>
      </c>
      <c r="Q2" t="s">
        <v>522</v>
      </c>
    </row>
    <row r="3" spans="1:17" x14ac:dyDescent="0.25">
      <c r="A3" t="s">
        <v>204</v>
      </c>
      <c r="B3">
        <v>2571.52</v>
      </c>
      <c r="C3" t="str">
        <f t="shared" ref="C3:C66" si="0">IF(A3=D3,"yes","no")</f>
        <v>yes</v>
      </c>
      <c r="D3" t="s">
        <v>204</v>
      </c>
      <c r="E3">
        <v>641833.84100000001</v>
      </c>
      <c r="F3">
        <v>3474121.6349999998</v>
      </c>
      <c r="J3" t="s">
        <v>523</v>
      </c>
      <c r="K3" t="s">
        <v>462</v>
      </c>
      <c r="L3" t="s">
        <v>461</v>
      </c>
      <c r="M3">
        <v>1387.7023999999999</v>
      </c>
      <c r="N3">
        <v>18</v>
      </c>
      <c r="O3">
        <v>135</v>
      </c>
      <c r="P3">
        <v>0</v>
      </c>
      <c r="Q3" t="s">
        <v>522</v>
      </c>
    </row>
    <row r="4" spans="1:17" x14ac:dyDescent="0.25">
      <c r="A4" t="s">
        <v>343</v>
      </c>
      <c r="B4">
        <v>2568.2399999999998</v>
      </c>
      <c r="C4" t="str">
        <f t="shared" si="0"/>
        <v>no</v>
      </c>
      <c r="D4" t="s">
        <v>203</v>
      </c>
      <c r="E4">
        <v>641885.56999999995</v>
      </c>
      <c r="F4">
        <v>3474083.13</v>
      </c>
      <c r="J4" t="s">
        <v>524</v>
      </c>
      <c r="K4" t="s">
        <v>463</v>
      </c>
      <c r="L4" t="s">
        <v>462</v>
      </c>
      <c r="M4">
        <v>1014.4055999999999</v>
      </c>
      <c r="N4">
        <v>18</v>
      </c>
      <c r="O4">
        <v>135</v>
      </c>
      <c r="P4">
        <v>0</v>
      </c>
      <c r="Q4" t="s">
        <v>522</v>
      </c>
    </row>
    <row r="5" spans="1:17" x14ac:dyDescent="0.25">
      <c r="A5" t="s">
        <v>209</v>
      </c>
      <c r="B5">
        <v>2604.3199999999997</v>
      </c>
      <c r="C5" t="str">
        <f t="shared" si="0"/>
        <v>yes</v>
      </c>
      <c r="D5" t="s">
        <v>209</v>
      </c>
      <c r="E5">
        <v>641842.72199999995</v>
      </c>
      <c r="F5">
        <v>3474060.1430000002</v>
      </c>
      <c r="J5" t="s">
        <v>525</v>
      </c>
      <c r="K5" t="s">
        <v>464</v>
      </c>
      <c r="L5" t="s">
        <v>463</v>
      </c>
      <c r="M5">
        <v>1052.7159999999999</v>
      </c>
      <c r="N5">
        <v>18</v>
      </c>
      <c r="O5">
        <v>135</v>
      </c>
      <c r="P5">
        <v>0</v>
      </c>
      <c r="Q5" t="s">
        <v>522</v>
      </c>
    </row>
    <row r="6" spans="1:17" x14ac:dyDescent="0.25">
      <c r="A6" t="s">
        <v>341</v>
      </c>
      <c r="B6">
        <v>2574.7999999999997</v>
      </c>
      <c r="C6" t="str">
        <f t="shared" si="0"/>
        <v>no</v>
      </c>
      <c r="D6" t="s">
        <v>207</v>
      </c>
      <c r="E6">
        <v>641832.24</v>
      </c>
      <c r="F6">
        <v>3474054.83</v>
      </c>
      <c r="J6" t="s">
        <v>526</v>
      </c>
      <c r="K6" t="s">
        <v>465</v>
      </c>
      <c r="L6" t="s">
        <v>464</v>
      </c>
      <c r="M6">
        <v>977.14480000000003</v>
      </c>
      <c r="N6">
        <v>18</v>
      </c>
      <c r="O6">
        <v>135</v>
      </c>
      <c r="P6">
        <v>0</v>
      </c>
      <c r="Q6" t="s">
        <v>522</v>
      </c>
    </row>
    <row r="7" spans="1:17" x14ac:dyDescent="0.25">
      <c r="A7" t="s">
        <v>637</v>
      </c>
      <c r="B7">
        <v>2578.08</v>
      </c>
      <c r="C7" t="str">
        <f t="shared" si="0"/>
        <v>no</v>
      </c>
      <c r="D7" t="s">
        <v>758</v>
      </c>
      <c r="E7">
        <v>641812.26800000004</v>
      </c>
      <c r="F7">
        <v>3474061.2940000002</v>
      </c>
      <c r="J7" t="s">
        <v>527</v>
      </c>
      <c r="K7" t="s">
        <v>466</v>
      </c>
      <c r="L7" t="s">
        <v>465</v>
      </c>
      <c r="M7">
        <v>1201.0375999999999</v>
      </c>
      <c r="N7">
        <v>18</v>
      </c>
      <c r="O7">
        <v>135</v>
      </c>
      <c r="P7">
        <v>0</v>
      </c>
      <c r="Q7" t="s">
        <v>522</v>
      </c>
    </row>
    <row r="8" spans="1:17" x14ac:dyDescent="0.25">
      <c r="A8" t="s">
        <v>54</v>
      </c>
      <c r="B8">
        <v>2564.96</v>
      </c>
      <c r="C8" t="str">
        <f t="shared" si="0"/>
        <v>no</v>
      </c>
      <c r="D8" t="s">
        <v>190</v>
      </c>
      <c r="E8">
        <v>641814.17000000004</v>
      </c>
      <c r="F8">
        <v>3474046.26</v>
      </c>
      <c r="G8">
        <f t="shared" ref="G8:G9" si="1">M8*3.28</f>
        <v>3789.6463999999992</v>
      </c>
      <c r="J8" t="s">
        <v>528</v>
      </c>
      <c r="K8" t="s">
        <v>467</v>
      </c>
      <c r="L8" t="s">
        <v>466</v>
      </c>
      <c r="M8">
        <v>1155.3799999999999</v>
      </c>
      <c r="N8">
        <v>18</v>
      </c>
      <c r="O8">
        <v>135</v>
      </c>
      <c r="P8">
        <v>0</v>
      </c>
      <c r="Q8" t="s">
        <v>522</v>
      </c>
    </row>
    <row r="9" spans="1:17" x14ac:dyDescent="0.25">
      <c r="A9" t="s">
        <v>55</v>
      </c>
      <c r="B9">
        <v>2574.7999999999997</v>
      </c>
      <c r="C9" t="str">
        <f t="shared" si="0"/>
        <v>no</v>
      </c>
      <c r="D9" t="s">
        <v>189</v>
      </c>
      <c r="E9">
        <v>642174.17000000004</v>
      </c>
      <c r="F9">
        <v>3473459.18</v>
      </c>
      <c r="G9">
        <f t="shared" si="1"/>
        <v>3609.7659519999993</v>
      </c>
      <c r="J9" t="s">
        <v>529</v>
      </c>
      <c r="K9" t="s">
        <v>468</v>
      </c>
      <c r="L9" t="s">
        <v>467</v>
      </c>
      <c r="M9">
        <v>1100.5383999999999</v>
      </c>
      <c r="N9">
        <v>18</v>
      </c>
      <c r="O9">
        <v>135</v>
      </c>
      <c r="P9">
        <v>0</v>
      </c>
      <c r="Q9" t="s">
        <v>522</v>
      </c>
    </row>
    <row r="10" spans="1:17" x14ac:dyDescent="0.25">
      <c r="A10" t="s">
        <v>56</v>
      </c>
      <c r="B10">
        <v>2558.3999999999996</v>
      </c>
      <c r="C10" t="str">
        <f t="shared" si="0"/>
        <v>no</v>
      </c>
      <c r="D10" t="s">
        <v>188</v>
      </c>
      <c r="E10">
        <v>642174.17000000004</v>
      </c>
      <c r="F10">
        <v>3473384.41</v>
      </c>
      <c r="G10">
        <f t="shared" ref="G3:G10" si="2">M10*3.28*1.1</f>
        <v>8064.6016</v>
      </c>
      <c r="J10" t="s">
        <v>530</v>
      </c>
      <c r="K10" t="s">
        <v>531</v>
      </c>
      <c r="L10" t="s">
        <v>469</v>
      </c>
      <c r="M10">
        <v>2235.1999999999998</v>
      </c>
      <c r="N10">
        <v>18</v>
      </c>
      <c r="O10">
        <v>135</v>
      </c>
      <c r="P10">
        <v>0</v>
      </c>
      <c r="Q10" t="s">
        <v>522</v>
      </c>
    </row>
    <row r="11" spans="1:17" x14ac:dyDescent="0.25">
      <c r="A11" t="s">
        <v>57</v>
      </c>
      <c r="B11">
        <v>2568.2399999999998</v>
      </c>
      <c r="C11" t="str">
        <f t="shared" si="0"/>
        <v>no</v>
      </c>
      <c r="D11" t="s">
        <v>187</v>
      </c>
      <c r="E11">
        <v>643500.63</v>
      </c>
      <c r="F11">
        <v>3473137.95</v>
      </c>
      <c r="G11">
        <f t="shared" ref="G3:G66" si="3">M11*3.28</f>
        <v>4339.6158079999996</v>
      </c>
      <c r="J11" t="s">
        <v>532</v>
      </c>
      <c r="K11" t="s">
        <v>469</v>
      </c>
      <c r="L11" t="s">
        <v>468</v>
      </c>
      <c r="M11">
        <v>1323.0536</v>
      </c>
      <c r="N11">
        <v>18</v>
      </c>
      <c r="O11">
        <v>135</v>
      </c>
      <c r="P11">
        <v>0</v>
      </c>
      <c r="Q11" t="s">
        <v>522</v>
      </c>
    </row>
    <row r="12" spans="1:17" x14ac:dyDescent="0.25">
      <c r="A12" t="s">
        <v>58</v>
      </c>
      <c r="B12">
        <v>2568.2399999999998</v>
      </c>
      <c r="C12" t="str">
        <f t="shared" si="0"/>
        <v>no</v>
      </c>
      <c r="D12" t="s">
        <v>186</v>
      </c>
      <c r="E12">
        <v>643553.25</v>
      </c>
      <c r="F12">
        <v>3473417.65</v>
      </c>
      <c r="G12">
        <f t="shared" si="3"/>
        <v>19547.367295999997</v>
      </c>
      <c r="J12" t="s">
        <v>533</v>
      </c>
      <c r="K12" t="s">
        <v>470</v>
      </c>
      <c r="L12" t="s">
        <v>534</v>
      </c>
      <c r="M12">
        <v>5959.5631999999996</v>
      </c>
      <c r="N12">
        <v>18</v>
      </c>
      <c r="O12">
        <v>135</v>
      </c>
      <c r="P12">
        <v>0</v>
      </c>
      <c r="Q12" t="s">
        <v>522</v>
      </c>
    </row>
    <row r="13" spans="1:17" x14ac:dyDescent="0.25">
      <c r="A13" t="s">
        <v>59</v>
      </c>
      <c r="B13">
        <v>2571.52</v>
      </c>
      <c r="C13" t="str">
        <f t="shared" si="0"/>
        <v>no</v>
      </c>
      <c r="D13" t="s">
        <v>185</v>
      </c>
      <c r="E13">
        <v>644341.48</v>
      </c>
      <c r="F13">
        <v>3473285.74</v>
      </c>
      <c r="G13">
        <f t="shared" si="3"/>
        <v>4114.4424959999997</v>
      </c>
      <c r="J13" t="s">
        <v>535</v>
      </c>
      <c r="K13" t="s">
        <v>471</v>
      </c>
      <c r="L13" t="s">
        <v>470</v>
      </c>
      <c r="M13">
        <v>1254.4032</v>
      </c>
      <c r="N13">
        <v>18</v>
      </c>
      <c r="O13">
        <v>135</v>
      </c>
      <c r="P13">
        <v>0</v>
      </c>
      <c r="Q13" t="s">
        <v>522</v>
      </c>
    </row>
    <row r="14" spans="1:17" x14ac:dyDescent="0.25">
      <c r="A14" t="s">
        <v>60</v>
      </c>
      <c r="B14">
        <v>2568.2399999999998</v>
      </c>
      <c r="C14" t="str">
        <f t="shared" si="0"/>
        <v>no</v>
      </c>
      <c r="D14" t="s">
        <v>184</v>
      </c>
      <c r="E14">
        <v>644342.69999999995</v>
      </c>
      <c r="F14">
        <v>3473256.24</v>
      </c>
      <c r="G14">
        <f t="shared" si="3"/>
        <v>3852.3678719999994</v>
      </c>
      <c r="J14" t="s">
        <v>536</v>
      </c>
      <c r="K14" t="s">
        <v>472</v>
      </c>
      <c r="L14" t="s">
        <v>471</v>
      </c>
      <c r="M14">
        <v>1174.5023999999999</v>
      </c>
      <c r="N14">
        <v>18</v>
      </c>
      <c r="O14">
        <v>135</v>
      </c>
      <c r="P14">
        <v>0</v>
      </c>
      <c r="Q14" t="s">
        <v>522</v>
      </c>
    </row>
    <row r="15" spans="1:17" x14ac:dyDescent="0.25">
      <c r="A15" t="s">
        <v>61</v>
      </c>
      <c r="B15">
        <v>2584.64</v>
      </c>
      <c r="C15" t="str">
        <f t="shared" si="0"/>
        <v>no</v>
      </c>
      <c r="D15" t="s">
        <v>183</v>
      </c>
      <c r="E15">
        <v>645140.64</v>
      </c>
      <c r="F15">
        <v>3473265.01</v>
      </c>
      <c r="G15">
        <f t="shared" si="3"/>
        <v>3793.0890879999997</v>
      </c>
      <c r="J15" t="s">
        <v>537</v>
      </c>
      <c r="K15" t="s">
        <v>473</v>
      </c>
      <c r="L15" t="s">
        <v>472</v>
      </c>
      <c r="M15">
        <v>1156.4295999999999</v>
      </c>
      <c r="N15">
        <v>18</v>
      </c>
      <c r="O15">
        <v>135</v>
      </c>
      <c r="P15">
        <v>0</v>
      </c>
      <c r="Q15" t="s">
        <v>522</v>
      </c>
    </row>
    <row r="16" spans="1:17" x14ac:dyDescent="0.25">
      <c r="A16" t="s">
        <v>62</v>
      </c>
      <c r="B16">
        <v>2584.64</v>
      </c>
      <c r="C16" t="str">
        <f t="shared" si="0"/>
        <v>no</v>
      </c>
      <c r="D16" t="s">
        <v>182</v>
      </c>
      <c r="E16">
        <v>645633.59</v>
      </c>
      <c r="F16">
        <v>3473175.79</v>
      </c>
      <c r="G16">
        <f t="shared" si="3"/>
        <v>3647.8506879999995</v>
      </c>
      <c r="J16" t="s">
        <v>538</v>
      </c>
      <c r="K16" t="s">
        <v>474</v>
      </c>
      <c r="L16" t="s">
        <v>473</v>
      </c>
      <c r="M16">
        <v>1112.1496</v>
      </c>
      <c r="N16">
        <v>18</v>
      </c>
      <c r="O16">
        <v>135</v>
      </c>
      <c r="P16">
        <v>0</v>
      </c>
      <c r="Q16" t="s">
        <v>522</v>
      </c>
    </row>
    <row r="17" spans="1:17" x14ac:dyDescent="0.25">
      <c r="A17" t="s">
        <v>63</v>
      </c>
      <c r="B17">
        <v>2574.7999999999997</v>
      </c>
      <c r="C17" t="str">
        <f t="shared" si="0"/>
        <v>no</v>
      </c>
      <c r="D17" t="s">
        <v>181</v>
      </c>
      <c r="E17">
        <v>645803.27</v>
      </c>
      <c r="F17">
        <v>3472990.99</v>
      </c>
      <c r="G17">
        <f t="shared" si="3"/>
        <v>3789.1084799999994</v>
      </c>
      <c r="J17" t="s">
        <v>539</v>
      </c>
      <c r="K17" t="s">
        <v>475</v>
      </c>
      <c r="L17" t="s">
        <v>474</v>
      </c>
      <c r="M17">
        <v>1155.2159999999999</v>
      </c>
      <c r="N17">
        <v>18</v>
      </c>
      <c r="O17">
        <v>135</v>
      </c>
      <c r="P17">
        <v>0</v>
      </c>
      <c r="Q17" t="s">
        <v>522</v>
      </c>
    </row>
    <row r="18" spans="1:17" x14ac:dyDescent="0.25">
      <c r="A18" t="s">
        <v>64</v>
      </c>
      <c r="B18">
        <v>2568.2399999999998</v>
      </c>
      <c r="C18" t="str">
        <f t="shared" si="0"/>
        <v>no</v>
      </c>
      <c r="D18" t="s">
        <v>180</v>
      </c>
      <c r="E18">
        <v>645830.56999999995</v>
      </c>
      <c r="F18">
        <v>3472971.49</v>
      </c>
      <c r="G18">
        <f t="shared" si="3"/>
        <v>3276.0403839999994</v>
      </c>
      <c r="J18" t="s">
        <v>540</v>
      </c>
      <c r="K18" t="s">
        <v>476</v>
      </c>
      <c r="L18" t="s">
        <v>475</v>
      </c>
      <c r="M18">
        <v>998.79279999999994</v>
      </c>
      <c r="N18">
        <v>18</v>
      </c>
      <c r="O18">
        <v>135</v>
      </c>
      <c r="P18">
        <v>0</v>
      </c>
      <c r="Q18" t="s">
        <v>522</v>
      </c>
    </row>
    <row r="19" spans="1:17" x14ac:dyDescent="0.25">
      <c r="A19" t="s">
        <v>639</v>
      </c>
      <c r="B19">
        <v>2558.3999999999996</v>
      </c>
      <c r="C19" t="str">
        <f>IF(A19=D28,"yes","no")</f>
        <v>no</v>
      </c>
      <c r="J19" t="s">
        <v>541</v>
      </c>
      <c r="K19" t="s">
        <v>477</v>
      </c>
      <c r="L19" t="s">
        <v>476</v>
      </c>
      <c r="M19">
        <v>1119.1032</v>
      </c>
      <c r="N19">
        <v>18</v>
      </c>
      <c r="O19">
        <v>135</v>
      </c>
      <c r="P19">
        <v>0</v>
      </c>
      <c r="Q19" t="s">
        <v>522</v>
      </c>
    </row>
    <row r="20" spans="1:17" x14ac:dyDescent="0.25">
      <c r="A20" t="s">
        <v>640</v>
      </c>
      <c r="B20">
        <v>2591.1999999999998</v>
      </c>
      <c r="C20" t="str">
        <f>IF(A20=D29,"yes","no")</f>
        <v>no</v>
      </c>
      <c r="J20" t="s">
        <v>542</v>
      </c>
      <c r="K20" t="s">
        <v>543</v>
      </c>
      <c r="L20" t="s">
        <v>478</v>
      </c>
      <c r="M20">
        <v>5959.1039999999994</v>
      </c>
      <c r="N20">
        <v>18</v>
      </c>
      <c r="O20">
        <v>135</v>
      </c>
      <c r="P20">
        <v>0</v>
      </c>
      <c r="Q20" t="s">
        <v>522</v>
      </c>
    </row>
    <row r="21" spans="1:17" x14ac:dyDescent="0.25">
      <c r="A21" t="s">
        <v>641</v>
      </c>
      <c r="B21">
        <v>2587.92</v>
      </c>
      <c r="C21" t="str">
        <f>IF(A21=D30,"yes","no")</f>
        <v>no</v>
      </c>
      <c r="J21" t="s">
        <v>544</v>
      </c>
      <c r="K21" t="s">
        <v>478</v>
      </c>
      <c r="L21" t="s">
        <v>477</v>
      </c>
      <c r="M21">
        <v>1011.6504</v>
      </c>
      <c r="N21">
        <v>18</v>
      </c>
      <c r="O21">
        <v>135</v>
      </c>
      <c r="P21">
        <v>0</v>
      </c>
      <c r="Q21" t="s">
        <v>522</v>
      </c>
    </row>
    <row r="22" spans="1:17" x14ac:dyDescent="0.25">
      <c r="A22" t="s">
        <v>642</v>
      </c>
      <c r="B22">
        <v>2587.92</v>
      </c>
      <c r="C22" t="str">
        <f>IF(A22=D40,"yes","no")</f>
        <v>no</v>
      </c>
      <c r="J22" t="s">
        <v>545</v>
      </c>
      <c r="K22" t="s">
        <v>479</v>
      </c>
      <c r="L22" t="s">
        <v>546</v>
      </c>
      <c r="M22">
        <v>5964.6143999999995</v>
      </c>
      <c r="N22">
        <v>18</v>
      </c>
      <c r="O22">
        <v>135</v>
      </c>
      <c r="P22">
        <v>0</v>
      </c>
      <c r="Q22" t="s">
        <v>522</v>
      </c>
    </row>
    <row r="23" spans="1:17" x14ac:dyDescent="0.25">
      <c r="A23" t="s">
        <v>643</v>
      </c>
      <c r="B23">
        <v>2584.64</v>
      </c>
      <c r="C23" t="str">
        <f>IF(A23=D41,"yes","no")</f>
        <v>no</v>
      </c>
      <c r="J23" t="s">
        <v>547</v>
      </c>
      <c r="K23" t="s">
        <v>480</v>
      </c>
      <c r="L23" t="s">
        <v>479</v>
      </c>
      <c r="M23">
        <v>1119.4639999999999</v>
      </c>
      <c r="N23">
        <v>18</v>
      </c>
      <c r="O23">
        <v>135</v>
      </c>
      <c r="P23">
        <v>0</v>
      </c>
      <c r="Q23" t="s">
        <v>522</v>
      </c>
    </row>
    <row r="24" spans="1:17" x14ac:dyDescent="0.25">
      <c r="A24" t="s">
        <v>644</v>
      </c>
      <c r="B24">
        <v>2597.7599999999998</v>
      </c>
      <c r="C24" t="str">
        <f>IF(A24=D42,"yes","no")</f>
        <v>no</v>
      </c>
      <c r="J24" t="s">
        <v>548</v>
      </c>
      <c r="K24" t="s">
        <v>481</v>
      </c>
      <c r="L24" t="s">
        <v>480</v>
      </c>
      <c r="M24">
        <v>1117.6927999999998</v>
      </c>
      <c r="N24">
        <v>18</v>
      </c>
      <c r="O24">
        <v>135</v>
      </c>
      <c r="P24">
        <v>0</v>
      </c>
      <c r="Q24" t="s">
        <v>522</v>
      </c>
    </row>
    <row r="25" spans="1:17" x14ac:dyDescent="0.25">
      <c r="A25" t="s">
        <v>645</v>
      </c>
      <c r="B25">
        <v>2587.92</v>
      </c>
      <c r="C25" t="str">
        <f>IF(A25=D57,"yes","no")</f>
        <v>no</v>
      </c>
      <c r="J25" t="s">
        <v>549</v>
      </c>
      <c r="K25" t="s">
        <v>482</v>
      </c>
      <c r="L25" t="s">
        <v>481</v>
      </c>
      <c r="M25">
        <v>1046.32</v>
      </c>
      <c r="N25">
        <v>18</v>
      </c>
      <c r="O25">
        <v>135</v>
      </c>
      <c r="P25">
        <v>0</v>
      </c>
      <c r="Q25" t="s">
        <v>522</v>
      </c>
    </row>
    <row r="26" spans="1:17" x14ac:dyDescent="0.25">
      <c r="A26" t="s">
        <v>646</v>
      </c>
      <c r="B26">
        <v>2597.7599999999998</v>
      </c>
      <c r="C26" t="str">
        <f>IF(A26=D58,"yes","no")</f>
        <v>no</v>
      </c>
      <c r="J26" t="s">
        <v>550</v>
      </c>
      <c r="K26" t="s">
        <v>483</v>
      </c>
      <c r="L26" t="s">
        <v>482</v>
      </c>
      <c r="M26">
        <v>1217.5359999999998</v>
      </c>
      <c r="N26">
        <v>18</v>
      </c>
      <c r="O26">
        <v>135</v>
      </c>
      <c r="P26">
        <v>0</v>
      </c>
      <c r="Q26" t="s">
        <v>522</v>
      </c>
    </row>
    <row r="27" spans="1:17" x14ac:dyDescent="0.25">
      <c r="A27" t="s">
        <v>647</v>
      </c>
      <c r="B27">
        <v>2594.48</v>
      </c>
      <c r="C27" t="str">
        <f>IF(A27=D59,"yes","no")</f>
        <v>no</v>
      </c>
      <c r="J27" t="s">
        <v>551</v>
      </c>
      <c r="K27" t="s">
        <v>484</v>
      </c>
      <c r="L27" t="s">
        <v>483</v>
      </c>
      <c r="M27">
        <v>1031.2647999999999</v>
      </c>
      <c r="N27">
        <v>18</v>
      </c>
      <c r="O27">
        <v>135</v>
      </c>
      <c r="P27">
        <v>0</v>
      </c>
      <c r="Q27" t="s">
        <v>522</v>
      </c>
    </row>
    <row r="28" spans="1:17" x14ac:dyDescent="0.25">
      <c r="A28" t="s">
        <v>65</v>
      </c>
      <c r="B28">
        <v>2601.04</v>
      </c>
      <c r="C28" t="str">
        <f>IF(A28=D60,"yes","no")</f>
        <v>no</v>
      </c>
      <c r="D28" t="s">
        <v>179</v>
      </c>
      <c r="E28">
        <v>648271.43999999994</v>
      </c>
      <c r="F28">
        <v>3470011.34</v>
      </c>
      <c r="G28">
        <f>M19*3.28</f>
        <v>3670.658496</v>
      </c>
      <c r="J28" t="s">
        <v>552</v>
      </c>
      <c r="K28" t="s">
        <v>485</v>
      </c>
      <c r="L28" t="s">
        <v>484</v>
      </c>
      <c r="M28">
        <v>1190.0167999999999</v>
      </c>
      <c r="N28">
        <v>18</v>
      </c>
      <c r="O28">
        <v>135</v>
      </c>
      <c r="P28">
        <v>0</v>
      </c>
      <c r="Q28" t="s">
        <v>522</v>
      </c>
    </row>
    <row r="29" spans="1:17" x14ac:dyDescent="0.25">
      <c r="A29" t="s">
        <v>66</v>
      </c>
      <c r="B29">
        <v>2607.6</v>
      </c>
      <c r="C29" t="str">
        <f>IF(A29=D61,"yes","no")</f>
        <v>no</v>
      </c>
      <c r="D29" t="s">
        <v>178</v>
      </c>
      <c r="E29">
        <v>648441.12</v>
      </c>
      <c r="F29">
        <v>3469755.84</v>
      </c>
      <c r="G29">
        <f>M20*3.28</f>
        <v>19545.861119999998</v>
      </c>
      <c r="J29" t="s">
        <v>553</v>
      </c>
      <c r="K29" t="s">
        <v>486</v>
      </c>
      <c r="L29" t="s">
        <v>485</v>
      </c>
      <c r="M29">
        <v>906.19839999999988</v>
      </c>
      <c r="N29">
        <v>18</v>
      </c>
      <c r="O29">
        <v>135</v>
      </c>
      <c r="P29">
        <v>0</v>
      </c>
      <c r="Q29" t="s">
        <v>522</v>
      </c>
    </row>
    <row r="30" spans="1:17" x14ac:dyDescent="0.25">
      <c r="A30" t="s">
        <v>67</v>
      </c>
      <c r="B30">
        <v>2614.16</v>
      </c>
      <c r="C30" t="str">
        <f>IF(A30=D62,"yes","no")</f>
        <v>no</v>
      </c>
      <c r="D30" t="s">
        <v>177</v>
      </c>
      <c r="E30">
        <v>648563.99</v>
      </c>
      <c r="F30">
        <v>3469467.19</v>
      </c>
      <c r="G30">
        <f>M21*3.28</f>
        <v>3318.2133119999999</v>
      </c>
      <c r="J30" t="s">
        <v>554</v>
      </c>
      <c r="K30" t="s">
        <v>487</v>
      </c>
      <c r="L30" t="s">
        <v>486</v>
      </c>
      <c r="M30">
        <v>864.11599999999987</v>
      </c>
      <c r="N30">
        <v>18</v>
      </c>
      <c r="O30">
        <v>135</v>
      </c>
      <c r="P30">
        <v>0</v>
      </c>
      <c r="Q30" t="s">
        <v>522</v>
      </c>
    </row>
    <row r="31" spans="1:17" x14ac:dyDescent="0.25">
      <c r="A31" t="s">
        <v>648</v>
      </c>
      <c r="B31">
        <v>2610.8799999999997</v>
      </c>
      <c r="C31" t="str">
        <f>IF(A31=D63,"yes","no")</f>
        <v>no</v>
      </c>
      <c r="J31" t="s">
        <v>555</v>
      </c>
      <c r="K31" t="s">
        <v>488</v>
      </c>
      <c r="L31" t="s">
        <v>487</v>
      </c>
      <c r="M31">
        <v>1090.6655999999998</v>
      </c>
      <c r="N31">
        <v>18</v>
      </c>
      <c r="O31">
        <v>135</v>
      </c>
      <c r="P31">
        <v>0</v>
      </c>
      <c r="Q31" t="s">
        <v>522</v>
      </c>
    </row>
    <row r="32" spans="1:17" x14ac:dyDescent="0.25">
      <c r="A32" t="s">
        <v>649</v>
      </c>
      <c r="B32">
        <v>2617.44</v>
      </c>
      <c r="C32" t="str">
        <f>IF(A32=D64,"yes","no")</f>
        <v>no</v>
      </c>
      <c r="J32" t="s">
        <v>556</v>
      </c>
      <c r="K32" t="s">
        <v>489</v>
      </c>
      <c r="L32" t="s">
        <v>488</v>
      </c>
      <c r="M32">
        <v>891.60239999999988</v>
      </c>
      <c r="N32">
        <v>18</v>
      </c>
      <c r="O32">
        <v>135</v>
      </c>
      <c r="P32">
        <v>0</v>
      </c>
      <c r="Q32" t="s">
        <v>522</v>
      </c>
    </row>
    <row r="33" spans="1:17" x14ac:dyDescent="0.25">
      <c r="A33" t="s">
        <v>650</v>
      </c>
      <c r="B33">
        <v>2607.6</v>
      </c>
      <c r="C33" t="str">
        <f>IF(A33=D65,"yes","no")</f>
        <v>no</v>
      </c>
      <c r="J33" t="s">
        <v>557</v>
      </c>
      <c r="K33" t="s">
        <v>490</v>
      </c>
      <c r="L33" t="s">
        <v>489</v>
      </c>
      <c r="M33">
        <v>1357.1</v>
      </c>
      <c r="N33">
        <v>18</v>
      </c>
      <c r="O33">
        <v>135</v>
      </c>
      <c r="P33">
        <v>0</v>
      </c>
      <c r="Q33" t="s">
        <v>522</v>
      </c>
    </row>
    <row r="34" spans="1:17" x14ac:dyDescent="0.25">
      <c r="A34" t="s">
        <v>651</v>
      </c>
      <c r="B34">
        <v>2610.8799999999997</v>
      </c>
      <c r="C34" t="str">
        <f>IF(A34=D66,"yes","no")</f>
        <v>no</v>
      </c>
      <c r="J34" t="s">
        <v>558</v>
      </c>
      <c r="K34" t="s">
        <v>491</v>
      </c>
      <c r="L34" t="s">
        <v>490</v>
      </c>
      <c r="M34">
        <v>1004.664</v>
      </c>
      <c r="N34">
        <v>18</v>
      </c>
      <c r="O34">
        <v>135</v>
      </c>
      <c r="P34">
        <v>0</v>
      </c>
      <c r="Q34" t="s">
        <v>522</v>
      </c>
    </row>
    <row r="35" spans="1:17" x14ac:dyDescent="0.25">
      <c r="A35" t="s">
        <v>652</v>
      </c>
      <c r="B35">
        <v>2601.04</v>
      </c>
      <c r="C35" t="str">
        <f>IF(A35=D67,"yes","no")</f>
        <v>no</v>
      </c>
      <c r="J35" t="s">
        <v>559</v>
      </c>
      <c r="K35" t="s">
        <v>560</v>
      </c>
      <c r="L35" t="s">
        <v>492</v>
      </c>
      <c r="M35">
        <v>6036.2495999999992</v>
      </c>
      <c r="N35">
        <v>18</v>
      </c>
      <c r="O35">
        <v>135</v>
      </c>
      <c r="P35">
        <v>0</v>
      </c>
      <c r="Q35" t="s">
        <v>522</v>
      </c>
    </row>
    <row r="36" spans="1:17" x14ac:dyDescent="0.25">
      <c r="A36" t="s">
        <v>653</v>
      </c>
      <c r="B36">
        <v>2617.44</v>
      </c>
      <c r="C36" t="str">
        <f>IF(A36=D68,"yes","no")</f>
        <v>no</v>
      </c>
      <c r="J36" t="s">
        <v>561</v>
      </c>
      <c r="K36" t="s">
        <v>492</v>
      </c>
      <c r="L36" t="s">
        <v>491</v>
      </c>
      <c r="M36">
        <v>727.17599999999993</v>
      </c>
      <c r="N36">
        <v>18</v>
      </c>
      <c r="O36">
        <v>135</v>
      </c>
      <c r="P36">
        <v>0</v>
      </c>
      <c r="Q36" t="s">
        <v>522</v>
      </c>
    </row>
    <row r="37" spans="1:17" x14ac:dyDescent="0.25">
      <c r="A37" t="s">
        <v>654</v>
      </c>
      <c r="B37">
        <v>2627.2799999999997</v>
      </c>
      <c r="C37" t="str">
        <f>IF(A37=D69,"yes","no")</f>
        <v>no</v>
      </c>
      <c r="J37" t="s">
        <v>562</v>
      </c>
      <c r="K37" t="s">
        <v>493</v>
      </c>
      <c r="L37" t="s">
        <v>563</v>
      </c>
      <c r="M37">
        <v>6008.8616000000002</v>
      </c>
      <c r="N37">
        <v>18</v>
      </c>
      <c r="O37">
        <v>135</v>
      </c>
      <c r="P37">
        <v>0</v>
      </c>
      <c r="Q37" t="s">
        <v>522</v>
      </c>
    </row>
    <row r="38" spans="1:17" x14ac:dyDescent="0.25">
      <c r="A38" t="s">
        <v>655</v>
      </c>
      <c r="B38">
        <v>2633.8399999999997</v>
      </c>
      <c r="C38" t="str">
        <f>IF(A38=D70,"yes","no")</f>
        <v>no</v>
      </c>
      <c r="J38" t="s">
        <v>564</v>
      </c>
      <c r="K38" t="s">
        <v>565</v>
      </c>
      <c r="L38" t="s">
        <v>494</v>
      </c>
      <c r="M38">
        <v>6139.7007999999996</v>
      </c>
      <c r="N38">
        <v>18</v>
      </c>
      <c r="O38">
        <v>135</v>
      </c>
      <c r="P38">
        <v>0</v>
      </c>
      <c r="Q38" t="s">
        <v>522</v>
      </c>
    </row>
    <row r="39" spans="1:17" x14ac:dyDescent="0.25">
      <c r="A39" t="s">
        <v>656</v>
      </c>
      <c r="B39">
        <v>2650.24</v>
      </c>
      <c r="C39" t="str">
        <f>IF(A39=D71,"yes","no")</f>
        <v>no</v>
      </c>
      <c r="J39" t="s">
        <v>566</v>
      </c>
      <c r="K39" t="s">
        <v>494</v>
      </c>
      <c r="L39" t="s">
        <v>493</v>
      </c>
      <c r="M39">
        <v>1166.2695999999999</v>
      </c>
      <c r="N39">
        <v>18</v>
      </c>
      <c r="O39">
        <v>135</v>
      </c>
      <c r="P39">
        <v>0</v>
      </c>
      <c r="Q39" t="s">
        <v>522</v>
      </c>
    </row>
    <row r="40" spans="1:17" x14ac:dyDescent="0.25">
      <c r="A40" t="s">
        <v>68</v>
      </c>
      <c r="B40">
        <v>2650.24</v>
      </c>
      <c r="C40" t="str">
        <f>IF(A40=D72,"yes","no")</f>
        <v>no</v>
      </c>
      <c r="D40" t="s">
        <v>176</v>
      </c>
      <c r="E40">
        <v>649669.84</v>
      </c>
      <c r="F40">
        <v>3466254.96</v>
      </c>
      <c r="G40">
        <f>M22*3.28</f>
        <v>19563.935231999996</v>
      </c>
      <c r="J40" t="s">
        <v>567</v>
      </c>
      <c r="K40" t="s">
        <v>495</v>
      </c>
      <c r="L40" t="s">
        <v>565</v>
      </c>
      <c r="M40">
        <v>6104.5064000000002</v>
      </c>
      <c r="N40">
        <v>18</v>
      </c>
      <c r="O40">
        <v>135</v>
      </c>
      <c r="P40">
        <v>0</v>
      </c>
      <c r="Q40" t="s">
        <v>522</v>
      </c>
    </row>
    <row r="41" spans="1:17" x14ac:dyDescent="0.25">
      <c r="A41" t="s">
        <v>69</v>
      </c>
      <c r="B41">
        <v>2663.3599999999997</v>
      </c>
      <c r="C41" t="str">
        <f>IF(A41=D73,"yes","no")</f>
        <v>no</v>
      </c>
      <c r="D41" t="s">
        <v>175</v>
      </c>
      <c r="E41">
        <v>649794.67000000004</v>
      </c>
      <c r="F41">
        <v>3465981.91</v>
      </c>
      <c r="G41">
        <f>M23*3.28</f>
        <v>3671.8419199999994</v>
      </c>
      <c r="J41" t="s">
        <v>568</v>
      </c>
      <c r="K41" t="s">
        <v>569</v>
      </c>
      <c r="L41" t="s">
        <v>496</v>
      </c>
      <c r="M41">
        <v>6182.1439999999993</v>
      </c>
      <c r="N41">
        <v>18</v>
      </c>
      <c r="O41">
        <v>135</v>
      </c>
      <c r="P41">
        <v>0</v>
      </c>
      <c r="Q41" t="s">
        <v>522</v>
      </c>
    </row>
    <row r="42" spans="1:17" x14ac:dyDescent="0.25">
      <c r="A42" t="s">
        <v>70</v>
      </c>
      <c r="B42">
        <v>2666.64</v>
      </c>
      <c r="C42" t="str">
        <f>IF(A42=D74,"yes","no")</f>
        <v>no</v>
      </c>
      <c r="D42" t="s">
        <v>174</v>
      </c>
      <c r="E42">
        <v>650020.91</v>
      </c>
      <c r="F42">
        <v>3465677.65</v>
      </c>
      <c r="G42">
        <f>M24*3.28</f>
        <v>3666.0323839999992</v>
      </c>
      <c r="J42" t="s">
        <v>570</v>
      </c>
      <c r="K42" t="s">
        <v>496</v>
      </c>
      <c r="L42" t="s">
        <v>495</v>
      </c>
      <c r="M42">
        <v>1185.0968</v>
      </c>
      <c r="N42">
        <v>18</v>
      </c>
      <c r="O42">
        <v>135</v>
      </c>
      <c r="P42">
        <v>0</v>
      </c>
      <c r="Q42" t="s">
        <v>522</v>
      </c>
    </row>
    <row r="43" spans="1:17" x14ac:dyDescent="0.25">
      <c r="A43" t="s">
        <v>657</v>
      </c>
      <c r="B43">
        <v>2676.48</v>
      </c>
      <c r="C43" t="str">
        <f>IF(A43=D75,"yes","no")</f>
        <v>no</v>
      </c>
      <c r="J43" t="s">
        <v>571</v>
      </c>
      <c r="K43" t="s">
        <v>497</v>
      </c>
      <c r="L43" t="s">
        <v>569</v>
      </c>
      <c r="M43">
        <v>6060.1935999999996</v>
      </c>
      <c r="N43">
        <v>18</v>
      </c>
      <c r="O43">
        <v>135</v>
      </c>
      <c r="P43">
        <v>0</v>
      </c>
      <c r="Q43" t="s">
        <v>522</v>
      </c>
    </row>
    <row r="44" spans="1:17" x14ac:dyDescent="0.25">
      <c r="A44" t="s">
        <v>658</v>
      </c>
      <c r="B44">
        <v>2683.04</v>
      </c>
      <c r="C44" t="str">
        <f>IF(A44=D76,"yes","no")</f>
        <v>no</v>
      </c>
      <c r="J44" t="s">
        <v>572</v>
      </c>
      <c r="K44" t="s">
        <v>573</v>
      </c>
      <c r="L44" t="s">
        <v>498</v>
      </c>
      <c r="M44">
        <v>6202.7423999999992</v>
      </c>
      <c r="N44">
        <v>18</v>
      </c>
      <c r="O44">
        <v>135</v>
      </c>
      <c r="P44">
        <v>0</v>
      </c>
      <c r="Q44" t="s">
        <v>522</v>
      </c>
    </row>
    <row r="45" spans="1:17" x14ac:dyDescent="0.25">
      <c r="A45" t="s">
        <v>659</v>
      </c>
      <c r="B45">
        <v>2689.6</v>
      </c>
      <c r="C45" t="str">
        <f>IF(A45=D77,"yes","no")</f>
        <v>no</v>
      </c>
      <c r="J45" t="s">
        <v>574</v>
      </c>
      <c r="K45" t="s">
        <v>498</v>
      </c>
      <c r="L45" t="s">
        <v>497</v>
      </c>
      <c r="M45">
        <v>1605.7567999999999</v>
      </c>
      <c r="N45">
        <v>18</v>
      </c>
      <c r="O45">
        <v>135</v>
      </c>
      <c r="P45">
        <v>0</v>
      </c>
      <c r="Q45" t="s">
        <v>522</v>
      </c>
    </row>
    <row r="46" spans="1:17" x14ac:dyDescent="0.25">
      <c r="A46" t="s">
        <v>660</v>
      </c>
      <c r="B46">
        <v>2699.44</v>
      </c>
      <c r="C46" t="str">
        <f>IF(A46=D78,"yes","no")</f>
        <v>no</v>
      </c>
      <c r="J46" t="s">
        <v>575</v>
      </c>
      <c r="K46" t="s">
        <v>499</v>
      </c>
      <c r="L46" t="s">
        <v>576</v>
      </c>
      <c r="M46">
        <v>6179.1592000000001</v>
      </c>
      <c r="N46">
        <v>18</v>
      </c>
      <c r="O46">
        <v>135</v>
      </c>
      <c r="P46">
        <v>0</v>
      </c>
      <c r="Q46" t="s">
        <v>522</v>
      </c>
    </row>
    <row r="47" spans="1:17" x14ac:dyDescent="0.25">
      <c r="A47" t="s">
        <v>661</v>
      </c>
      <c r="B47">
        <v>2719.12</v>
      </c>
      <c r="C47" t="str">
        <f>IF(A47=D79,"yes","no")</f>
        <v>no</v>
      </c>
      <c r="J47" t="s">
        <v>577</v>
      </c>
      <c r="K47" t="s">
        <v>578</v>
      </c>
      <c r="L47" t="s">
        <v>500</v>
      </c>
      <c r="M47">
        <v>6335.6479999999992</v>
      </c>
      <c r="N47">
        <v>18</v>
      </c>
      <c r="O47">
        <v>135</v>
      </c>
      <c r="P47">
        <v>0</v>
      </c>
      <c r="Q47" t="s">
        <v>522</v>
      </c>
    </row>
    <row r="48" spans="1:17" x14ac:dyDescent="0.25">
      <c r="A48" t="s">
        <v>662</v>
      </c>
      <c r="B48">
        <v>2725.68</v>
      </c>
      <c r="C48" t="str">
        <f>IF(A48=D80,"yes","no")</f>
        <v>no</v>
      </c>
      <c r="J48" t="s">
        <v>579</v>
      </c>
      <c r="K48" t="s">
        <v>500</v>
      </c>
      <c r="L48" t="s">
        <v>499</v>
      </c>
      <c r="M48">
        <v>1953.3711999999998</v>
      </c>
      <c r="N48">
        <v>18</v>
      </c>
      <c r="O48">
        <v>135</v>
      </c>
      <c r="P48">
        <v>0</v>
      </c>
      <c r="Q48" t="s">
        <v>522</v>
      </c>
    </row>
    <row r="49" spans="1:17" x14ac:dyDescent="0.25">
      <c r="A49" t="s">
        <v>663</v>
      </c>
      <c r="B49">
        <v>2725.68</v>
      </c>
      <c r="C49" t="str">
        <f>IF(A49=D81,"yes","no")</f>
        <v>no</v>
      </c>
      <c r="J49" t="s">
        <v>580</v>
      </c>
      <c r="K49" t="s">
        <v>581</v>
      </c>
      <c r="L49" t="s">
        <v>501</v>
      </c>
      <c r="M49">
        <v>6157.1831999999995</v>
      </c>
      <c r="N49">
        <v>18</v>
      </c>
      <c r="O49">
        <v>135</v>
      </c>
      <c r="P49">
        <v>0</v>
      </c>
      <c r="Q49" t="s">
        <v>522</v>
      </c>
    </row>
    <row r="50" spans="1:17" x14ac:dyDescent="0.25">
      <c r="A50" t="s">
        <v>664</v>
      </c>
      <c r="B50">
        <v>2738.7999999999997</v>
      </c>
      <c r="C50" t="str">
        <f>IF(A50=D82,"yes","no")</f>
        <v>no</v>
      </c>
      <c r="J50" t="s">
        <v>582</v>
      </c>
      <c r="K50" t="s">
        <v>501</v>
      </c>
      <c r="L50" t="s">
        <v>583</v>
      </c>
      <c r="M50">
        <v>6164.7599999999993</v>
      </c>
      <c r="N50">
        <v>18</v>
      </c>
      <c r="O50">
        <v>135</v>
      </c>
      <c r="P50">
        <v>0</v>
      </c>
      <c r="Q50" t="s">
        <v>522</v>
      </c>
    </row>
    <row r="51" spans="1:17" x14ac:dyDescent="0.25">
      <c r="A51" t="s">
        <v>665</v>
      </c>
      <c r="B51">
        <v>2761.7599999999998</v>
      </c>
      <c r="C51" t="str">
        <f>IF(A51=D83,"yes","no")</f>
        <v>no</v>
      </c>
      <c r="J51" t="s">
        <v>584</v>
      </c>
      <c r="K51" t="s">
        <v>585</v>
      </c>
      <c r="L51" t="s">
        <v>502</v>
      </c>
      <c r="M51">
        <v>6302.192</v>
      </c>
      <c r="N51">
        <v>18</v>
      </c>
      <c r="O51">
        <v>135</v>
      </c>
      <c r="P51">
        <v>0</v>
      </c>
      <c r="Q51" t="s">
        <v>522</v>
      </c>
    </row>
    <row r="52" spans="1:17" x14ac:dyDescent="0.25">
      <c r="A52" t="s">
        <v>666</v>
      </c>
      <c r="B52">
        <v>2768.3199999999997</v>
      </c>
      <c r="C52" t="str">
        <f>IF(A52=D84,"yes","no")</f>
        <v>no</v>
      </c>
      <c r="J52" t="s">
        <v>586</v>
      </c>
      <c r="K52" t="s">
        <v>502</v>
      </c>
      <c r="L52" t="s">
        <v>587</v>
      </c>
      <c r="M52">
        <v>6236.2639999999992</v>
      </c>
      <c r="N52">
        <v>18</v>
      </c>
      <c r="O52">
        <v>135</v>
      </c>
      <c r="P52">
        <v>0</v>
      </c>
      <c r="Q52" t="s">
        <v>522</v>
      </c>
    </row>
    <row r="53" spans="1:17" x14ac:dyDescent="0.25">
      <c r="A53" t="s">
        <v>667</v>
      </c>
      <c r="B53">
        <v>2768.3199999999997</v>
      </c>
      <c r="C53" t="str">
        <f>IF(A53=D85,"yes","no")</f>
        <v>no</v>
      </c>
      <c r="J53" t="s">
        <v>588</v>
      </c>
      <c r="K53" t="s">
        <v>503</v>
      </c>
      <c r="L53" t="s">
        <v>589</v>
      </c>
      <c r="M53">
        <v>6223.0455999999995</v>
      </c>
      <c r="N53">
        <v>18</v>
      </c>
      <c r="O53">
        <v>135</v>
      </c>
      <c r="P53">
        <v>0</v>
      </c>
      <c r="Q53" t="s">
        <v>522</v>
      </c>
    </row>
    <row r="54" spans="1:17" x14ac:dyDescent="0.25">
      <c r="A54" t="s">
        <v>668</v>
      </c>
      <c r="B54">
        <v>2755.2</v>
      </c>
      <c r="C54" t="str">
        <f>IF(A54=D86,"yes","no")</f>
        <v>no</v>
      </c>
      <c r="J54" t="s">
        <v>590</v>
      </c>
      <c r="K54" t="s">
        <v>591</v>
      </c>
      <c r="L54" t="s">
        <v>504</v>
      </c>
      <c r="M54">
        <v>6452.5144</v>
      </c>
      <c r="N54">
        <v>18</v>
      </c>
      <c r="O54">
        <v>135</v>
      </c>
      <c r="P54">
        <v>0</v>
      </c>
      <c r="Q54" t="s">
        <v>522</v>
      </c>
    </row>
    <row r="55" spans="1:17" x14ac:dyDescent="0.25">
      <c r="A55" t="s">
        <v>669</v>
      </c>
      <c r="B55">
        <v>2761.7599999999998</v>
      </c>
      <c r="C55" t="str">
        <f>IF(A55=D87,"yes","no")</f>
        <v>no</v>
      </c>
      <c r="J55" t="s">
        <v>592</v>
      </c>
      <c r="K55" t="s">
        <v>504</v>
      </c>
      <c r="L55" t="s">
        <v>503</v>
      </c>
      <c r="M55">
        <v>1975.3799999999999</v>
      </c>
      <c r="N55">
        <v>18</v>
      </c>
      <c r="O55">
        <v>135</v>
      </c>
      <c r="P55">
        <v>0</v>
      </c>
      <c r="Q55" t="s">
        <v>522</v>
      </c>
    </row>
    <row r="56" spans="1:17" x14ac:dyDescent="0.25">
      <c r="A56" t="s">
        <v>670</v>
      </c>
      <c r="B56">
        <v>2774.8799999999997</v>
      </c>
      <c r="C56" t="str">
        <f>IF(A56=D88,"yes","no")</f>
        <v>no</v>
      </c>
      <c r="J56" t="s">
        <v>593</v>
      </c>
      <c r="K56" t="s">
        <v>505</v>
      </c>
      <c r="L56" t="s">
        <v>594</v>
      </c>
      <c r="M56">
        <v>6197.232</v>
      </c>
      <c r="N56">
        <v>18</v>
      </c>
      <c r="O56">
        <v>135</v>
      </c>
      <c r="P56">
        <v>0</v>
      </c>
      <c r="Q56" t="s">
        <v>522</v>
      </c>
    </row>
    <row r="57" spans="1:17" x14ac:dyDescent="0.25">
      <c r="A57" t="s">
        <v>71</v>
      </c>
      <c r="B57">
        <v>2771.6</v>
      </c>
      <c r="C57" t="str">
        <f>IF(A57=D89,"yes","no")</f>
        <v>no</v>
      </c>
      <c r="D57" t="s">
        <v>173</v>
      </c>
      <c r="E57">
        <v>653391.12</v>
      </c>
      <c r="F57">
        <v>3462198.22</v>
      </c>
      <c r="G57">
        <f>M25*3.28</f>
        <v>3431.9295999999995</v>
      </c>
      <c r="J57" t="s">
        <v>595</v>
      </c>
      <c r="K57" t="s">
        <v>506</v>
      </c>
      <c r="L57" t="s">
        <v>505</v>
      </c>
      <c r="M57">
        <v>1599.7872</v>
      </c>
      <c r="N57">
        <v>18</v>
      </c>
      <c r="O57">
        <v>135</v>
      </c>
      <c r="P57">
        <v>0</v>
      </c>
      <c r="Q57" t="s">
        <v>522</v>
      </c>
    </row>
    <row r="58" spans="1:17" x14ac:dyDescent="0.25">
      <c r="A58" t="s">
        <v>72</v>
      </c>
      <c r="B58">
        <v>2774.8799999999997</v>
      </c>
      <c r="C58" t="str">
        <f>IF(A58=D90,"yes","no")</f>
        <v>no</v>
      </c>
      <c r="D58" t="s">
        <v>172</v>
      </c>
      <c r="E58">
        <v>653410.62</v>
      </c>
      <c r="F58">
        <v>3462143.61</v>
      </c>
      <c r="G58">
        <f>M26*3.28</f>
        <v>3993.5180799999994</v>
      </c>
      <c r="J58" t="s">
        <v>596</v>
      </c>
      <c r="K58" t="s">
        <v>597</v>
      </c>
      <c r="L58" t="s">
        <v>507</v>
      </c>
      <c r="M58">
        <v>6487.4463999999998</v>
      </c>
      <c r="N58">
        <v>18</v>
      </c>
      <c r="O58">
        <v>135</v>
      </c>
      <c r="P58">
        <v>0</v>
      </c>
      <c r="Q58" t="s">
        <v>522</v>
      </c>
    </row>
    <row r="59" spans="1:17" x14ac:dyDescent="0.25">
      <c r="A59" t="s">
        <v>671</v>
      </c>
      <c r="B59">
        <v>2778.16</v>
      </c>
      <c r="C59" t="str">
        <f>IF(A59=D91,"yes","no")</f>
        <v>no</v>
      </c>
      <c r="D59" t="s">
        <v>171</v>
      </c>
      <c r="E59">
        <v>654065.93999999994</v>
      </c>
      <c r="F59">
        <v>3461429.78</v>
      </c>
      <c r="G59">
        <f>M27*3.28</f>
        <v>3382.5485439999998</v>
      </c>
      <c r="J59" t="s">
        <v>598</v>
      </c>
      <c r="K59" t="s">
        <v>507</v>
      </c>
      <c r="L59" t="s">
        <v>506</v>
      </c>
      <c r="M59">
        <v>1283.4639999999999</v>
      </c>
      <c r="N59">
        <v>18</v>
      </c>
      <c r="O59">
        <v>135</v>
      </c>
      <c r="P59">
        <v>0</v>
      </c>
      <c r="Q59" t="s">
        <v>522</v>
      </c>
    </row>
    <row r="60" spans="1:17" x14ac:dyDescent="0.25">
      <c r="A60" t="s">
        <v>672</v>
      </c>
      <c r="B60">
        <v>2791.2799999999997</v>
      </c>
      <c r="C60" t="str">
        <f>IF(A60=D92,"yes","no")</f>
        <v>no</v>
      </c>
      <c r="D60" t="s">
        <v>170</v>
      </c>
      <c r="E60">
        <v>654081.54</v>
      </c>
      <c r="F60">
        <v>3460255.67</v>
      </c>
      <c r="G60">
        <f>M28*3.28</f>
        <v>3903.2551039999994</v>
      </c>
      <c r="J60" t="s">
        <v>599</v>
      </c>
      <c r="K60" t="s">
        <v>508</v>
      </c>
      <c r="L60" t="s">
        <v>600</v>
      </c>
      <c r="M60">
        <v>6345.0944</v>
      </c>
      <c r="N60">
        <v>18</v>
      </c>
      <c r="O60">
        <v>135</v>
      </c>
      <c r="P60">
        <v>0</v>
      </c>
      <c r="Q60" t="s">
        <v>522</v>
      </c>
    </row>
    <row r="61" spans="1:17" x14ac:dyDescent="0.25">
      <c r="A61" t="s">
        <v>73</v>
      </c>
      <c r="C61" t="str">
        <f>IF(A61=D93,"yes","no")</f>
        <v>no</v>
      </c>
      <c r="D61" t="s">
        <v>169</v>
      </c>
      <c r="E61">
        <v>654916.30000000005</v>
      </c>
      <c r="F61">
        <v>3459452.12</v>
      </c>
      <c r="G61">
        <f>M29*3.28</f>
        <v>2972.3307519999994</v>
      </c>
      <c r="J61" t="s">
        <v>601</v>
      </c>
      <c r="K61" t="s">
        <v>509</v>
      </c>
      <c r="L61" t="s">
        <v>508</v>
      </c>
      <c r="M61">
        <v>1323.4471999999998</v>
      </c>
      <c r="N61">
        <v>18</v>
      </c>
      <c r="O61">
        <v>135</v>
      </c>
      <c r="P61">
        <v>0</v>
      </c>
      <c r="Q61" t="s">
        <v>522</v>
      </c>
    </row>
    <row r="62" spans="1:17" x14ac:dyDescent="0.25">
      <c r="A62" t="s">
        <v>673</v>
      </c>
      <c r="C62" t="str">
        <f>IF(A62=D94,"yes","no")</f>
        <v>no</v>
      </c>
      <c r="D62" t="s">
        <v>168</v>
      </c>
      <c r="E62">
        <v>654916.30000000005</v>
      </c>
      <c r="F62">
        <v>3459389.71</v>
      </c>
      <c r="G62">
        <f>M30*3.28</f>
        <v>2834.3004799999994</v>
      </c>
      <c r="J62" t="s">
        <v>602</v>
      </c>
      <c r="K62" t="s">
        <v>603</v>
      </c>
      <c r="L62" t="s">
        <v>510</v>
      </c>
      <c r="M62">
        <v>6335.6479999999992</v>
      </c>
      <c r="N62">
        <v>18</v>
      </c>
      <c r="O62">
        <v>135</v>
      </c>
      <c r="P62">
        <v>0</v>
      </c>
      <c r="Q62" t="s">
        <v>522</v>
      </c>
    </row>
    <row r="63" spans="1:17" x14ac:dyDescent="0.25">
      <c r="A63" t="s">
        <v>674</v>
      </c>
      <c r="C63" t="str">
        <f>IF(A63=D95,"yes","no")</f>
        <v>no</v>
      </c>
      <c r="D63" t="s">
        <v>167</v>
      </c>
      <c r="E63">
        <v>654951.4</v>
      </c>
      <c r="F63">
        <v>3459358.5</v>
      </c>
      <c r="G63">
        <f>M31*3.28</f>
        <v>3577.3831679999994</v>
      </c>
      <c r="J63" t="s">
        <v>604</v>
      </c>
      <c r="K63" t="s">
        <v>510</v>
      </c>
      <c r="L63" t="s">
        <v>509</v>
      </c>
      <c r="M63">
        <v>1857.8903999999998</v>
      </c>
      <c r="N63">
        <v>18</v>
      </c>
      <c r="O63">
        <v>135</v>
      </c>
      <c r="P63">
        <v>0</v>
      </c>
      <c r="Q63" t="s">
        <v>522</v>
      </c>
    </row>
    <row r="64" spans="1:17" x14ac:dyDescent="0.25">
      <c r="A64" t="s">
        <v>74</v>
      </c>
      <c r="C64" t="str">
        <f>IF(A64=D96,"yes","no")</f>
        <v>no</v>
      </c>
      <c r="D64" t="s">
        <v>166</v>
      </c>
      <c r="E64">
        <v>654970.91</v>
      </c>
      <c r="F64">
        <v>3457845.03</v>
      </c>
      <c r="G64">
        <f>M32*3.28</f>
        <v>2924.4558719999995</v>
      </c>
      <c r="J64" t="s">
        <v>605</v>
      </c>
      <c r="K64" t="s">
        <v>606</v>
      </c>
      <c r="L64" t="s">
        <v>511</v>
      </c>
      <c r="M64">
        <v>6393.4416000000001</v>
      </c>
      <c r="N64">
        <v>18</v>
      </c>
      <c r="O64">
        <v>135</v>
      </c>
      <c r="P64">
        <v>0</v>
      </c>
      <c r="Q64" t="s">
        <v>522</v>
      </c>
    </row>
    <row r="65" spans="1:17" x14ac:dyDescent="0.25">
      <c r="A65" t="s">
        <v>675</v>
      </c>
      <c r="C65" t="str">
        <f>IF(A65=D97,"yes","no")</f>
        <v>no</v>
      </c>
      <c r="D65" t="s">
        <v>165</v>
      </c>
      <c r="E65">
        <v>654931.9</v>
      </c>
      <c r="F65">
        <v>3457809.92</v>
      </c>
      <c r="G65">
        <f>M33*3.28</f>
        <v>4451.2879999999996</v>
      </c>
      <c r="J65" t="s">
        <v>607</v>
      </c>
      <c r="K65" t="s">
        <v>511</v>
      </c>
      <c r="L65" t="s">
        <v>608</v>
      </c>
      <c r="M65">
        <v>6371.6951999999992</v>
      </c>
      <c r="N65">
        <v>18</v>
      </c>
      <c r="O65">
        <v>135</v>
      </c>
      <c r="P65">
        <v>0</v>
      </c>
      <c r="Q65" t="s">
        <v>522</v>
      </c>
    </row>
    <row r="66" spans="1:17" x14ac:dyDescent="0.25">
      <c r="A66" t="s">
        <v>676</v>
      </c>
      <c r="C66" t="str">
        <f>IF(A66=D98,"yes","no")</f>
        <v>no</v>
      </c>
      <c r="D66" t="s">
        <v>164</v>
      </c>
      <c r="E66">
        <v>654943.6</v>
      </c>
      <c r="F66">
        <v>3457146.8</v>
      </c>
      <c r="G66">
        <f>M34*3.28</f>
        <v>3295.29792</v>
      </c>
      <c r="J66" t="s">
        <v>609</v>
      </c>
      <c r="K66" t="s">
        <v>512</v>
      </c>
      <c r="L66" t="s">
        <v>610</v>
      </c>
      <c r="M66">
        <v>6439.3615999999993</v>
      </c>
      <c r="N66">
        <v>18</v>
      </c>
      <c r="O66">
        <v>135</v>
      </c>
      <c r="P66">
        <v>0</v>
      </c>
      <c r="Q66" t="s">
        <v>522</v>
      </c>
    </row>
    <row r="67" spans="1:17" x14ac:dyDescent="0.25">
      <c r="A67" t="s">
        <v>75</v>
      </c>
      <c r="C67" t="str">
        <f>IF(A67=D99,"yes","no")</f>
        <v>no</v>
      </c>
      <c r="D67" t="s">
        <v>163</v>
      </c>
      <c r="E67">
        <v>654959.19999999995</v>
      </c>
      <c r="F67">
        <v>3457076.59</v>
      </c>
      <c r="G67">
        <f>M35*3.28</f>
        <v>19798.898687999997</v>
      </c>
      <c r="J67" t="s">
        <v>611</v>
      </c>
      <c r="K67" t="s">
        <v>513</v>
      </c>
      <c r="L67" t="s">
        <v>512</v>
      </c>
      <c r="M67">
        <v>1323.644</v>
      </c>
      <c r="N67">
        <v>18</v>
      </c>
      <c r="O67">
        <v>135</v>
      </c>
      <c r="P67">
        <v>0</v>
      </c>
      <c r="Q67" t="s">
        <v>522</v>
      </c>
    </row>
    <row r="68" spans="1:17" x14ac:dyDescent="0.25">
      <c r="A68" t="s">
        <v>76</v>
      </c>
      <c r="C68" t="str">
        <f>IF(A68=D100,"yes","no")</f>
        <v>no</v>
      </c>
      <c r="D68" t="s">
        <v>162</v>
      </c>
      <c r="E68">
        <v>654970.91</v>
      </c>
      <c r="F68">
        <v>3456159.92</v>
      </c>
      <c r="G68">
        <f>M36*3.28</f>
        <v>2385.1372799999995</v>
      </c>
      <c r="J68" t="s">
        <v>612</v>
      </c>
      <c r="K68" t="s">
        <v>514</v>
      </c>
      <c r="L68" t="s">
        <v>513</v>
      </c>
      <c r="M68">
        <v>1560.2959999999998</v>
      </c>
      <c r="N68">
        <v>18</v>
      </c>
      <c r="O68">
        <v>135</v>
      </c>
      <c r="P68">
        <v>0</v>
      </c>
      <c r="Q68" t="s">
        <v>522</v>
      </c>
    </row>
    <row r="69" spans="1:17" x14ac:dyDescent="0.25">
      <c r="A69" t="s">
        <v>77</v>
      </c>
      <c r="C69" t="str">
        <f>IF(A69=D101,"yes","no")</f>
        <v>no</v>
      </c>
      <c r="D69" t="s">
        <v>161</v>
      </c>
      <c r="E69">
        <v>654993.32999999996</v>
      </c>
      <c r="F69">
        <v>3456141.4</v>
      </c>
      <c r="G69">
        <f>M37*3.28</f>
        <v>19709.066048000001</v>
      </c>
      <c r="J69" t="s">
        <v>613</v>
      </c>
      <c r="K69" t="s">
        <v>515</v>
      </c>
      <c r="L69" t="s">
        <v>514</v>
      </c>
      <c r="M69">
        <v>1365.3327999999999</v>
      </c>
      <c r="N69">
        <v>18</v>
      </c>
      <c r="O69">
        <v>135</v>
      </c>
      <c r="P69">
        <v>0</v>
      </c>
      <c r="Q69" t="s">
        <v>522</v>
      </c>
    </row>
    <row r="70" spans="1:17" x14ac:dyDescent="0.25">
      <c r="A70" t="s">
        <v>677</v>
      </c>
      <c r="C70" t="str">
        <f>IF(A70=D102,"yes","no")</f>
        <v>no</v>
      </c>
      <c r="D70" t="s">
        <v>160</v>
      </c>
      <c r="E70">
        <v>655012.84</v>
      </c>
      <c r="F70">
        <v>3454592.82</v>
      </c>
      <c r="G70">
        <f>M38*3.28</f>
        <v>20138.218623999997</v>
      </c>
      <c r="J70" t="s">
        <v>614</v>
      </c>
      <c r="K70" t="s">
        <v>516</v>
      </c>
      <c r="L70" t="s">
        <v>515</v>
      </c>
      <c r="M70">
        <v>1539.5991999999999</v>
      </c>
      <c r="N70">
        <v>18</v>
      </c>
      <c r="O70">
        <v>135</v>
      </c>
      <c r="P70">
        <v>0</v>
      </c>
      <c r="Q70" t="s">
        <v>522</v>
      </c>
    </row>
    <row r="71" spans="1:17" x14ac:dyDescent="0.25">
      <c r="A71" t="s">
        <v>678</v>
      </c>
      <c r="C71" t="str">
        <f>IF(A71=D103,"yes","no")</f>
        <v>no</v>
      </c>
      <c r="D71" t="s">
        <v>159</v>
      </c>
      <c r="E71">
        <v>654996.26</v>
      </c>
      <c r="F71">
        <v>3454572.34</v>
      </c>
      <c r="G71">
        <f>M39*3.28</f>
        <v>3825.3642879999993</v>
      </c>
      <c r="J71" t="s">
        <v>615</v>
      </c>
      <c r="K71" t="s">
        <v>517</v>
      </c>
      <c r="L71" t="s">
        <v>516</v>
      </c>
      <c r="M71">
        <v>1226.6871999999998</v>
      </c>
      <c r="N71">
        <v>18</v>
      </c>
      <c r="O71">
        <v>135</v>
      </c>
      <c r="P71">
        <v>0</v>
      </c>
      <c r="Q71" t="s">
        <v>522</v>
      </c>
    </row>
    <row r="72" spans="1:17" x14ac:dyDescent="0.25">
      <c r="A72" t="s">
        <v>78</v>
      </c>
      <c r="C72" t="str">
        <f>IF(A72=D104,"yes","no")</f>
        <v>no</v>
      </c>
      <c r="D72" t="s">
        <v>158</v>
      </c>
      <c r="E72">
        <v>655013.81000000006</v>
      </c>
      <c r="F72">
        <v>3452912.59</v>
      </c>
      <c r="G72">
        <f>M40*3.28</f>
        <v>20022.780992</v>
      </c>
      <c r="J72" t="s">
        <v>616</v>
      </c>
      <c r="K72" t="s">
        <v>518</v>
      </c>
      <c r="L72" t="s">
        <v>517</v>
      </c>
      <c r="M72">
        <v>1163.4159999999999</v>
      </c>
      <c r="N72">
        <v>18</v>
      </c>
      <c r="O72">
        <v>135</v>
      </c>
      <c r="P72">
        <v>0</v>
      </c>
      <c r="Q72" t="s">
        <v>522</v>
      </c>
    </row>
    <row r="73" spans="1:17" x14ac:dyDescent="0.25">
      <c r="A73" t="s">
        <v>79</v>
      </c>
      <c r="C73" t="str">
        <f>IF(A73=D105,"yes","no")</f>
        <v>no</v>
      </c>
      <c r="D73" t="s">
        <v>157</v>
      </c>
      <c r="E73">
        <v>655048.92000000004</v>
      </c>
      <c r="F73">
        <v>3452881.38</v>
      </c>
      <c r="G73">
        <f>M41*3.28</f>
        <v>20277.432319999996</v>
      </c>
      <c r="J73" t="s">
        <v>617</v>
      </c>
      <c r="K73" t="s">
        <v>618</v>
      </c>
      <c r="L73" t="s">
        <v>519</v>
      </c>
      <c r="M73">
        <v>6558.9503999999997</v>
      </c>
      <c r="N73">
        <v>18</v>
      </c>
      <c r="O73">
        <v>135</v>
      </c>
      <c r="P73">
        <v>0</v>
      </c>
      <c r="Q73" t="s">
        <v>522</v>
      </c>
    </row>
    <row r="74" spans="1:17" x14ac:dyDescent="0.25">
      <c r="A74" t="s">
        <v>679</v>
      </c>
      <c r="C74" t="str">
        <f>IF(A74=D106,"yes","no")</f>
        <v>no</v>
      </c>
      <c r="D74" t="s">
        <v>156</v>
      </c>
      <c r="E74">
        <v>655060.62</v>
      </c>
      <c r="F74">
        <v>3451313.3</v>
      </c>
      <c r="G74">
        <f>M42*3.28</f>
        <v>3887.1175039999998</v>
      </c>
      <c r="J74" t="s">
        <v>619</v>
      </c>
      <c r="K74" t="s">
        <v>519</v>
      </c>
      <c r="L74" t="s">
        <v>518</v>
      </c>
      <c r="M74">
        <v>1183.2272</v>
      </c>
      <c r="N74">
        <v>18</v>
      </c>
      <c r="O74">
        <v>135</v>
      </c>
      <c r="P74">
        <v>0</v>
      </c>
      <c r="Q74" t="s">
        <v>522</v>
      </c>
    </row>
    <row r="75" spans="1:17" x14ac:dyDescent="0.25">
      <c r="A75" t="s">
        <v>80</v>
      </c>
      <c r="C75" t="str">
        <f>IF(A75=D107,"yes","no")</f>
        <v>no</v>
      </c>
      <c r="D75" t="s">
        <v>155</v>
      </c>
      <c r="E75">
        <v>655021.61</v>
      </c>
      <c r="F75">
        <v>3451274.29</v>
      </c>
      <c r="G75">
        <f>M43*3.28</f>
        <v>19877.435007999997</v>
      </c>
    </row>
    <row r="76" spans="1:17" x14ac:dyDescent="0.25">
      <c r="A76" t="s">
        <v>81</v>
      </c>
      <c r="C76" t="str">
        <f>IF(A76=D108,"yes","no")</f>
        <v>no</v>
      </c>
      <c r="D76" t="s">
        <v>154</v>
      </c>
      <c r="E76">
        <v>655033.31999999995</v>
      </c>
      <c r="F76">
        <v>3450634.57</v>
      </c>
      <c r="G76">
        <f>M44*3.28</f>
        <v>20344.995071999998</v>
      </c>
    </row>
    <row r="77" spans="1:17" x14ac:dyDescent="0.25">
      <c r="A77" t="s">
        <v>680</v>
      </c>
      <c r="C77" t="str">
        <f>IF(A77=D109,"yes","no")</f>
        <v>no</v>
      </c>
      <c r="D77" t="s">
        <v>153</v>
      </c>
      <c r="E77">
        <v>654842.18000000005</v>
      </c>
      <c r="F77">
        <v>3450303.01</v>
      </c>
      <c r="G77">
        <f>M45*3.28</f>
        <v>5266.8823039999997</v>
      </c>
    </row>
    <row r="78" spans="1:17" x14ac:dyDescent="0.25">
      <c r="A78" t="s">
        <v>82</v>
      </c>
      <c r="C78" t="str">
        <f>IF(A78=D110,"yes","no")</f>
        <v>no</v>
      </c>
      <c r="D78" t="s">
        <v>152</v>
      </c>
      <c r="E78">
        <v>654853.88</v>
      </c>
      <c r="F78">
        <v>3450256.2</v>
      </c>
      <c r="G78">
        <f>M46*3.28</f>
        <v>20267.642175999998</v>
      </c>
    </row>
    <row r="79" spans="1:17" x14ac:dyDescent="0.25">
      <c r="A79" t="s">
        <v>83</v>
      </c>
      <c r="C79" t="str">
        <f>IF(A79=D111,"yes","no")</f>
        <v>no</v>
      </c>
      <c r="D79" t="s">
        <v>151</v>
      </c>
      <c r="E79">
        <v>655002.11</v>
      </c>
      <c r="F79">
        <v>3450174.29</v>
      </c>
      <c r="G79">
        <f>M47*3.28</f>
        <v>20780.925439999995</v>
      </c>
    </row>
    <row r="80" spans="1:17" x14ac:dyDescent="0.25">
      <c r="A80" t="s">
        <v>681</v>
      </c>
      <c r="C80" t="str">
        <f>IF(A80=D112,"yes","no")</f>
        <v>no</v>
      </c>
      <c r="D80" t="s">
        <v>150</v>
      </c>
      <c r="E80">
        <v>655061.05000000005</v>
      </c>
      <c r="F80">
        <v>3446438.89</v>
      </c>
      <c r="G80">
        <f>M48*3.28</f>
        <v>6407.0575359999993</v>
      </c>
    </row>
    <row r="81" spans="1:7" x14ac:dyDescent="0.25">
      <c r="A81" t="s">
        <v>682</v>
      </c>
      <c r="C81" t="str">
        <f>IF(A81=D113,"yes","no")</f>
        <v>no</v>
      </c>
      <c r="D81" t="s">
        <v>149</v>
      </c>
      <c r="E81">
        <v>655033.46</v>
      </c>
      <c r="F81">
        <v>3446405.78</v>
      </c>
      <c r="G81">
        <f>M49*3.28</f>
        <v>20195.560895999995</v>
      </c>
    </row>
    <row r="82" spans="1:7" x14ac:dyDescent="0.25">
      <c r="A82" t="s">
        <v>84</v>
      </c>
      <c r="C82" t="str">
        <f>IF(A82=D114,"yes","no")</f>
        <v>no</v>
      </c>
      <c r="D82" t="s">
        <v>148</v>
      </c>
      <c r="E82">
        <v>654867.92000000004</v>
      </c>
      <c r="F82">
        <v>3446403.02</v>
      </c>
      <c r="G82">
        <f>M50*3.28</f>
        <v>20220.412799999998</v>
      </c>
    </row>
    <row r="83" spans="1:7" x14ac:dyDescent="0.25">
      <c r="A83" t="s">
        <v>85</v>
      </c>
      <c r="C83" t="str">
        <f>IF(A83=D115,"yes","no")</f>
        <v>no</v>
      </c>
      <c r="D83" t="s">
        <v>146</v>
      </c>
      <c r="E83">
        <v>654854.39</v>
      </c>
      <c r="F83">
        <v>3446389.2</v>
      </c>
      <c r="G83">
        <f>M51*3.28</f>
        <v>20671.189759999997</v>
      </c>
    </row>
    <row r="84" spans="1:7" x14ac:dyDescent="0.25">
      <c r="A84" t="s">
        <v>683</v>
      </c>
      <c r="C84" t="str">
        <f>IF(A84=D116,"yes","no")</f>
        <v>no</v>
      </c>
      <c r="D84" t="s">
        <v>145</v>
      </c>
      <c r="E84">
        <v>654856.49</v>
      </c>
      <c r="F84">
        <v>3446357.64</v>
      </c>
      <c r="G84">
        <f>M52*3.28</f>
        <v>20454.945919999995</v>
      </c>
    </row>
    <row r="85" spans="1:7" x14ac:dyDescent="0.25">
      <c r="A85" t="s">
        <v>684</v>
      </c>
      <c r="C85" t="str">
        <f>IF(A85=D117,"yes","no")</f>
        <v>no</v>
      </c>
      <c r="D85" t="s">
        <v>200</v>
      </c>
      <c r="E85">
        <v>654857.96</v>
      </c>
      <c r="F85">
        <v>3446346.0040000002</v>
      </c>
      <c r="G85">
        <f>M53*3.28</f>
        <v>20411.589567999996</v>
      </c>
    </row>
    <row r="86" spans="1:7" x14ac:dyDescent="0.25">
      <c r="A86" t="s">
        <v>685</v>
      </c>
      <c r="C86" t="str">
        <f>IF(A86=D118,"yes","no")</f>
        <v>no</v>
      </c>
      <c r="D86" t="s">
        <v>195</v>
      </c>
      <c r="E86">
        <v>654834.15</v>
      </c>
      <c r="F86">
        <v>3446326.55</v>
      </c>
      <c r="G86">
        <f>M54*3.28</f>
        <v>21164.247231999998</v>
      </c>
    </row>
    <row r="87" spans="1:7" x14ac:dyDescent="0.25">
      <c r="A87" t="s">
        <v>86</v>
      </c>
      <c r="C87" t="str">
        <f>IF(A87=D119,"yes","no")</f>
        <v>no</v>
      </c>
      <c r="D87" t="s">
        <v>194</v>
      </c>
      <c r="E87">
        <v>654799.22</v>
      </c>
      <c r="F87">
        <v>3446324.93</v>
      </c>
      <c r="G87">
        <f>M55*3.28</f>
        <v>6479.2463999999991</v>
      </c>
    </row>
    <row r="88" spans="1:7" x14ac:dyDescent="0.25">
      <c r="A88" t="s">
        <v>87</v>
      </c>
      <c r="C88" t="str">
        <f>IF(A88=D120,"yes","no")</f>
        <v>no</v>
      </c>
      <c r="D88" t="s">
        <v>193</v>
      </c>
      <c r="E88">
        <v>654794.74</v>
      </c>
      <c r="F88">
        <v>3446322.51</v>
      </c>
      <c r="G88">
        <f>M56*3.28</f>
        <v>20326.920959999999</v>
      </c>
    </row>
    <row r="89" spans="1:7" x14ac:dyDescent="0.25">
      <c r="A89" t="s">
        <v>686</v>
      </c>
      <c r="C89" t="str">
        <f>IF(A89=D121,"yes","no")</f>
        <v>no</v>
      </c>
      <c r="D89" t="s">
        <v>15</v>
      </c>
      <c r="E89">
        <v>654792.93000000005</v>
      </c>
      <c r="F89">
        <v>3446318.75</v>
      </c>
      <c r="G89">
        <f>M57*3.28</f>
        <v>5247.3020159999996</v>
      </c>
    </row>
    <row r="90" spans="1:7" x14ac:dyDescent="0.25">
      <c r="A90" t="s">
        <v>687</v>
      </c>
      <c r="C90" t="str">
        <f>IF(A90=D122,"yes","no")</f>
        <v>no</v>
      </c>
      <c r="D90" t="s">
        <v>14</v>
      </c>
      <c r="E90">
        <v>654800.18999999994</v>
      </c>
      <c r="F90">
        <v>3446033</v>
      </c>
      <c r="G90">
        <f>M58*3.28</f>
        <v>21278.824191999996</v>
      </c>
    </row>
    <row r="91" spans="1:7" x14ac:dyDescent="0.25">
      <c r="A91" t="s">
        <v>688</v>
      </c>
      <c r="C91" t="str">
        <f>IF(A91=D123,"yes","no")</f>
        <v>no</v>
      </c>
      <c r="D91" t="s">
        <v>13</v>
      </c>
      <c r="E91">
        <v>654748.75</v>
      </c>
      <c r="F91">
        <v>3445795.89</v>
      </c>
      <c r="G91">
        <f>M59*3.28</f>
        <v>4209.7619199999999</v>
      </c>
    </row>
    <row r="92" spans="1:7" x14ac:dyDescent="0.25">
      <c r="A92" t="s">
        <v>88</v>
      </c>
      <c r="C92" t="str">
        <f>IF(A92=D124,"yes","no")</f>
        <v>no</v>
      </c>
      <c r="D92" t="s">
        <v>12</v>
      </c>
      <c r="E92">
        <v>654726.12</v>
      </c>
      <c r="F92">
        <v>3445691.92</v>
      </c>
      <c r="G92">
        <f>M60*3.28</f>
        <v>20811.909631999999</v>
      </c>
    </row>
    <row r="93" spans="1:7" x14ac:dyDescent="0.25">
      <c r="A93" t="s">
        <v>89</v>
      </c>
      <c r="C93" t="str">
        <f>IF(A93=D125,"yes","no")</f>
        <v>no</v>
      </c>
      <c r="D93" t="s">
        <v>32</v>
      </c>
      <c r="E93">
        <v>654380.68999999994</v>
      </c>
      <c r="F93">
        <v>3445766.72</v>
      </c>
      <c r="G93">
        <f>M61*3.28</f>
        <v>4340.9068159999988</v>
      </c>
    </row>
    <row r="94" spans="1:7" x14ac:dyDescent="0.25">
      <c r="A94" t="s">
        <v>689</v>
      </c>
      <c r="C94" t="str">
        <f>IF(A94=D126,"yes","no")</f>
        <v>no</v>
      </c>
      <c r="D94" t="s">
        <v>11</v>
      </c>
      <c r="E94">
        <v>654635.59</v>
      </c>
      <c r="F94">
        <v>3445274.17</v>
      </c>
      <c r="G94">
        <f>M62*3.28</f>
        <v>20780.925439999995</v>
      </c>
    </row>
    <row r="95" spans="1:7" x14ac:dyDescent="0.25">
      <c r="A95" t="s">
        <v>90</v>
      </c>
      <c r="C95" t="str">
        <f>IF(A95=D127,"yes","no")</f>
        <v>no</v>
      </c>
      <c r="D95" t="s">
        <v>10</v>
      </c>
      <c r="E95">
        <v>654635.15</v>
      </c>
      <c r="F95">
        <v>3445271.07</v>
      </c>
      <c r="G95">
        <f>M63*3.28</f>
        <v>6093.8805119999988</v>
      </c>
    </row>
    <row r="96" spans="1:7" x14ac:dyDescent="0.25">
      <c r="A96" t="s">
        <v>91</v>
      </c>
      <c r="C96" t="str">
        <f>IF(A96=D128,"yes","no")</f>
        <v>no</v>
      </c>
      <c r="D96" t="s">
        <v>33</v>
      </c>
      <c r="E96">
        <v>654663.14</v>
      </c>
      <c r="F96">
        <v>3445266.87</v>
      </c>
      <c r="G96">
        <f>M64*3.28</f>
        <v>20970.488448</v>
      </c>
    </row>
    <row r="97" spans="1:7" x14ac:dyDescent="0.25">
      <c r="A97" t="s">
        <v>92</v>
      </c>
      <c r="C97" t="str">
        <f>IF(A97=D129,"yes","no")</f>
        <v>no</v>
      </c>
      <c r="D97" t="s">
        <v>9</v>
      </c>
      <c r="E97">
        <v>654539.42000000004</v>
      </c>
      <c r="F97">
        <v>3444634.87</v>
      </c>
      <c r="G97">
        <f>M65*3.28</f>
        <v>20899.160255999996</v>
      </c>
    </row>
    <row r="98" spans="1:7" x14ac:dyDescent="0.25">
      <c r="A98" t="s">
        <v>93</v>
      </c>
      <c r="C98" t="str">
        <f>IF(A98=D130,"yes","no")</f>
        <v>no</v>
      </c>
      <c r="D98" t="s">
        <v>8</v>
      </c>
      <c r="E98">
        <v>654538.65</v>
      </c>
      <c r="F98">
        <v>3444632.11</v>
      </c>
      <c r="G98">
        <f>M66*3.28</f>
        <v>21121.106047999998</v>
      </c>
    </row>
    <row r="99" spans="1:7" x14ac:dyDescent="0.25">
      <c r="A99" t="s">
        <v>690</v>
      </c>
      <c r="C99" t="str">
        <f>IF(A99=D131,"yes","no")</f>
        <v>no</v>
      </c>
      <c r="D99" t="s">
        <v>7</v>
      </c>
      <c r="E99">
        <v>654537.54</v>
      </c>
      <c r="F99">
        <v>3444630.34</v>
      </c>
      <c r="G99">
        <f>M67*3.28</f>
        <v>4341.5523199999998</v>
      </c>
    </row>
    <row r="100" spans="1:7" x14ac:dyDescent="0.25">
      <c r="A100" t="s">
        <v>691</v>
      </c>
      <c r="C100" t="str">
        <f>IF(A100=D132,"yes","no")</f>
        <v>no</v>
      </c>
      <c r="D100" t="s">
        <v>6</v>
      </c>
      <c r="E100">
        <v>654530.68000000005</v>
      </c>
      <c r="F100">
        <v>3444622.37</v>
      </c>
      <c r="G100">
        <f>M68*3.28</f>
        <v>5117.7708799999991</v>
      </c>
    </row>
    <row r="101" spans="1:7" x14ac:dyDescent="0.25">
      <c r="A101" t="s">
        <v>692</v>
      </c>
      <c r="C101" t="str">
        <f>IF(A101=D133,"yes","no")</f>
        <v>no</v>
      </c>
      <c r="D101" t="s">
        <v>5</v>
      </c>
      <c r="E101">
        <v>654459.41</v>
      </c>
      <c r="F101">
        <v>3444538.93</v>
      </c>
      <c r="G101">
        <f>M69*3.28</f>
        <v>4478.2915839999996</v>
      </c>
    </row>
    <row r="102" spans="1:7" x14ac:dyDescent="0.25">
      <c r="A102" t="s">
        <v>693</v>
      </c>
      <c r="C102" t="str">
        <f>IF(A102=D134,"yes","no")</f>
        <v>no</v>
      </c>
      <c r="D102" t="s">
        <v>30</v>
      </c>
      <c r="E102">
        <v>654205.78</v>
      </c>
      <c r="F102">
        <v>3444755.72</v>
      </c>
      <c r="G102">
        <f>M70*3.28</f>
        <v>5049.8853759999993</v>
      </c>
    </row>
    <row r="103" spans="1:7" x14ac:dyDescent="0.25">
      <c r="A103" t="s">
        <v>694</v>
      </c>
      <c r="C103" t="str">
        <f>IF(A103=D135,"yes","no")</f>
        <v>no</v>
      </c>
      <c r="D103" t="s">
        <v>4</v>
      </c>
      <c r="E103">
        <v>654142.03</v>
      </c>
      <c r="F103">
        <v>3444167.55</v>
      </c>
      <c r="G103">
        <f>M71*3.28</f>
        <v>4023.5340159999992</v>
      </c>
    </row>
    <row r="104" spans="1:7" x14ac:dyDescent="0.25">
      <c r="A104" t="s">
        <v>695</v>
      </c>
      <c r="C104" t="str">
        <f>IF(A104=D136,"yes","no")</f>
        <v>no</v>
      </c>
      <c r="D104" t="s">
        <v>3</v>
      </c>
      <c r="E104">
        <v>654018.31000000006</v>
      </c>
      <c r="F104">
        <v>3444022.8</v>
      </c>
      <c r="G104">
        <f>M72*3.28</f>
        <v>3816.0044799999996</v>
      </c>
    </row>
    <row r="105" spans="1:7" x14ac:dyDescent="0.25">
      <c r="A105" t="s">
        <v>696</v>
      </c>
      <c r="C105" t="str">
        <f>IF(A105=D137,"yes","no")</f>
        <v>no</v>
      </c>
      <c r="D105" t="s">
        <v>28</v>
      </c>
      <c r="E105">
        <v>653716.43000000005</v>
      </c>
      <c r="F105">
        <v>3444280.64</v>
      </c>
      <c r="G105">
        <f>M73*3.28</f>
        <v>21513.357311999996</v>
      </c>
    </row>
    <row r="106" spans="1:7" x14ac:dyDescent="0.25">
      <c r="A106" t="s">
        <v>697</v>
      </c>
      <c r="C106" t="str">
        <f>IF(A106=D138,"yes","no")</f>
        <v>no</v>
      </c>
      <c r="D106" t="s">
        <v>2</v>
      </c>
      <c r="E106">
        <v>653634.31000000006</v>
      </c>
      <c r="F106">
        <v>3443573.4</v>
      </c>
      <c r="G106">
        <f>M74*3.28</f>
        <v>3880.985216</v>
      </c>
    </row>
    <row r="107" spans="1:7" x14ac:dyDescent="0.25">
      <c r="A107" t="s">
        <v>94</v>
      </c>
      <c r="C107" t="str">
        <f>IF(A107=D139,"yes","no")</f>
        <v>no</v>
      </c>
      <c r="D107" t="s">
        <v>29</v>
      </c>
      <c r="E107">
        <v>654399.14</v>
      </c>
      <c r="F107">
        <v>3443948.24</v>
      </c>
    </row>
    <row r="108" spans="1:7" x14ac:dyDescent="0.25">
      <c r="A108" t="s">
        <v>95</v>
      </c>
      <c r="C108" t="str">
        <f>IF(A108=D140,"yes","no")</f>
        <v>no</v>
      </c>
      <c r="D108" t="s">
        <v>25</v>
      </c>
      <c r="E108">
        <v>654697.4</v>
      </c>
      <c r="F108">
        <v>3444481.38</v>
      </c>
    </row>
    <row r="109" spans="1:7" x14ac:dyDescent="0.25">
      <c r="A109" t="s">
        <v>96</v>
      </c>
      <c r="C109" t="str">
        <f>IF(A109=D141,"yes","no")</f>
        <v>no</v>
      </c>
      <c r="D109" t="s">
        <v>34</v>
      </c>
      <c r="E109">
        <v>655604.61</v>
      </c>
      <c r="F109">
        <v>3444406.81</v>
      </c>
    </row>
    <row r="110" spans="1:7" x14ac:dyDescent="0.25">
      <c r="A110" t="s">
        <v>97</v>
      </c>
      <c r="C110" t="str">
        <f>IF(A110=D142,"yes","no")</f>
        <v>no</v>
      </c>
      <c r="D110" t="s">
        <v>24</v>
      </c>
      <c r="E110">
        <v>655602.55000000005</v>
      </c>
      <c r="F110">
        <v>3444398.64</v>
      </c>
    </row>
    <row r="111" spans="1:7" x14ac:dyDescent="0.25">
      <c r="A111" t="s">
        <v>98</v>
      </c>
      <c r="C111" t="str">
        <f>IF(A111=D143,"yes","no")</f>
        <v>no</v>
      </c>
      <c r="D111" t="s">
        <v>23</v>
      </c>
      <c r="E111">
        <v>655804.4</v>
      </c>
      <c r="F111">
        <v>3444333.01</v>
      </c>
    </row>
    <row r="112" spans="1:7" x14ac:dyDescent="0.25">
      <c r="A112" t="s">
        <v>345</v>
      </c>
      <c r="C112" t="str">
        <f>IF(A112=D144,"yes","no")</f>
        <v>no</v>
      </c>
      <c r="D112" t="s">
        <v>27</v>
      </c>
      <c r="E112">
        <v>655608.48</v>
      </c>
      <c r="F112">
        <v>3443728.11</v>
      </c>
    </row>
    <row r="113" spans="1:6" x14ac:dyDescent="0.25">
      <c r="A113" t="s">
        <v>99</v>
      </c>
      <c r="C113" t="str">
        <f>IF(A113=D145,"yes","no")</f>
        <v>no</v>
      </c>
      <c r="D113" t="s">
        <v>22</v>
      </c>
      <c r="E113">
        <v>656201.18000000005</v>
      </c>
      <c r="F113">
        <v>3444204.71</v>
      </c>
    </row>
    <row r="114" spans="1:6" x14ac:dyDescent="0.25">
      <c r="A114" t="s">
        <v>638</v>
      </c>
      <c r="C114" t="str">
        <f>IF(A114=D146,"yes","no")</f>
        <v>no</v>
      </c>
      <c r="D114" t="s">
        <v>192</v>
      </c>
      <c r="E114">
        <v>656204.15</v>
      </c>
      <c r="F114">
        <v>3444211.96</v>
      </c>
    </row>
    <row r="115" spans="1:6" x14ac:dyDescent="0.25">
      <c r="A115" t="s">
        <v>344</v>
      </c>
      <c r="C115" t="str">
        <f>IF(A115=D147,"yes","no")</f>
        <v>no</v>
      </c>
      <c r="D115" t="s">
        <v>21</v>
      </c>
      <c r="E115">
        <v>656416.55000000005</v>
      </c>
      <c r="F115">
        <v>3444110.71</v>
      </c>
    </row>
    <row r="116" spans="1:6" x14ac:dyDescent="0.25">
      <c r="A116" t="s">
        <v>100</v>
      </c>
      <c r="C116" t="str">
        <f>IF(A116=D148,"yes","no")</f>
        <v>no</v>
      </c>
      <c r="D116" t="s">
        <v>26</v>
      </c>
      <c r="E116">
        <v>656700.53</v>
      </c>
      <c r="F116">
        <v>3444759.47</v>
      </c>
    </row>
    <row r="117" spans="1:6" x14ac:dyDescent="0.25">
      <c r="A117" t="s">
        <v>101</v>
      </c>
      <c r="C117" t="str">
        <f>IF(A117=D149,"yes","no")</f>
        <v>no</v>
      </c>
      <c r="D117" t="s">
        <v>19</v>
      </c>
      <c r="E117">
        <v>656678.43000000005</v>
      </c>
      <c r="F117">
        <v>3443996.59</v>
      </c>
    </row>
    <row r="118" spans="1:6" x14ac:dyDescent="0.25">
      <c r="A118" t="s">
        <v>102</v>
      </c>
      <c r="C118" t="str">
        <f>IF(A118=D150,"yes","no")</f>
        <v>no</v>
      </c>
      <c r="D118" t="s">
        <v>20</v>
      </c>
      <c r="E118">
        <v>656685.68999999994</v>
      </c>
      <c r="F118">
        <v>3444001.54</v>
      </c>
    </row>
    <row r="119" spans="1:6" x14ac:dyDescent="0.25">
      <c r="A119" t="s">
        <v>103</v>
      </c>
      <c r="C119" t="str">
        <f>IF(A119=D151,"yes","no")</f>
        <v>no</v>
      </c>
      <c r="D119" t="s">
        <v>18</v>
      </c>
      <c r="E119">
        <v>656683.05000000005</v>
      </c>
      <c r="F119">
        <v>3443992.96</v>
      </c>
    </row>
    <row r="120" spans="1:6" x14ac:dyDescent="0.25">
      <c r="A120" t="s">
        <v>104</v>
      </c>
      <c r="C120" t="str">
        <f>IF(A120=D152,"yes","no")</f>
        <v>no</v>
      </c>
      <c r="D120" t="s">
        <v>17</v>
      </c>
      <c r="E120">
        <v>656684.37</v>
      </c>
      <c r="F120">
        <v>3443988.67</v>
      </c>
    </row>
    <row r="121" spans="1:6" x14ac:dyDescent="0.25">
      <c r="A121" t="s">
        <v>105</v>
      </c>
      <c r="C121" t="str">
        <f>IF(A121=D153,"yes","no")</f>
        <v>no</v>
      </c>
      <c r="D121" t="s">
        <v>16</v>
      </c>
      <c r="E121">
        <v>656637.86</v>
      </c>
      <c r="F121">
        <v>3443366.29</v>
      </c>
    </row>
    <row r="122" spans="1:6" x14ac:dyDescent="0.25">
      <c r="A122" t="s">
        <v>106</v>
      </c>
      <c r="C122" t="str">
        <f>IF(A122=D154,"yes","no")</f>
        <v>no</v>
      </c>
      <c r="D122" t="s">
        <v>31</v>
      </c>
      <c r="E122">
        <v>655032.55000000005</v>
      </c>
      <c r="F122">
        <v>3445735.08</v>
      </c>
    </row>
    <row r="123" spans="1:6" x14ac:dyDescent="0.25">
      <c r="A123" t="s">
        <v>107</v>
      </c>
      <c r="C123" t="str">
        <f>IF(A123=D155,"yes","no")</f>
        <v>no</v>
      </c>
    </row>
    <row r="124" spans="1:6" x14ac:dyDescent="0.25">
      <c r="A124" t="s">
        <v>108</v>
      </c>
      <c r="C124" t="str">
        <f>IF(A124=D156,"yes","no")</f>
        <v>no</v>
      </c>
    </row>
    <row r="125" spans="1:6" x14ac:dyDescent="0.25">
      <c r="A125" t="s">
        <v>109</v>
      </c>
      <c r="C125" t="str">
        <f>IF(A125=D157,"yes","no")</f>
        <v>no</v>
      </c>
    </row>
    <row r="126" spans="1:6" x14ac:dyDescent="0.25">
      <c r="A126" t="s">
        <v>110</v>
      </c>
      <c r="C126" t="str">
        <f>IF(A126=D158,"yes","no")</f>
        <v>no</v>
      </c>
    </row>
    <row r="127" spans="1:6" x14ac:dyDescent="0.25">
      <c r="A127" t="s">
        <v>111</v>
      </c>
      <c r="C127" t="str">
        <f>IF(A127=D159,"yes","no")</f>
        <v>no</v>
      </c>
      <c r="D127" t="s">
        <v>759</v>
      </c>
      <c r="E127">
        <v>654857.75199999998</v>
      </c>
      <c r="F127">
        <v>3446343.611</v>
      </c>
    </row>
    <row r="128" spans="1:6" x14ac:dyDescent="0.25">
      <c r="A128" t="s">
        <v>112</v>
      </c>
      <c r="C128" t="str">
        <f>IF(A128=D160,"yes","no")</f>
        <v>no</v>
      </c>
      <c r="D128" t="s">
        <v>760</v>
      </c>
      <c r="E128">
        <v>646100.21</v>
      </c>
      <c r="F128">
        <v>3472644.49</v>
      </c>
    </row>
    <row r="129" spans="1:6" x14ac:dyDescent="0.25">
      <c r="A129" t="s">
        <v>113</v>
      </c>
      <c r="C129" t="str">
        <f>IF(A129=D161,"yes","no")</f>
        <v>no</v>
      </c>
      <c r="D129" t="s">
        <v>761</v>
      </c>
      <c r="E129">
        <v>646369.35</v>
      </c>
      <c r="F129">
        <v>3472318.08</v>
      </c>
    </row>
    <row r="130" spans="1:6" x14ac:dyDescent="0.25">
      <c r="A130" t="s">
        <v>114</v>
      </c>
      <c r="C130" t="str">
        <f>IF(A130=D162,"yes","no")</f>
        <v>no</v>
      </c>
      <c r="D130" t="s">
        <v>762</v>
      </c>
      <c r="E130">
        <v>646566.11</v>
      </c>
      <c r="F130">
        <v>3472079.47</v>
      </c>
    </row>
    <row r="131" spans="1:6" x14ac:dyDescent="0.25">
      <c r="A131" t="s">
        <v>115</v>
      </c>
      <c r="C131" t="str">
        <f>IF(A131=D163,"yes","no")</f>
        <v>no</v>
      </c>
      <c r="D131" t="s">
        <v>763</v>
      </c>
      <c r="E131">
        <v>646770.17000000004</v>
      </c>
      <c r="F131">
        <v>3471832</v>
      </c>
    </row>
    <row r="132" spans="1:6" x14ac:dyDescent="0.25">
      <c r="A132" t="s">
        <v>116</v>
      </c>
      <c r="C132" t="str">
        <f>IF(A132=D164,"yes","no")</f>
        <v>no</v>
      </c>
      <c r="D132" t="s">
        <v>764</v>
      </c>
      <c r="E132">
        <v>646959.61</v>
      </c>
      <c r="F132">
        <v>3471602.25</v>
      </c>
    </row>
    <row r="133" spans="1:6" x14ac:dyDescent="0.25">
      <c r="A133" t="s">
        <v>117</v>
      </c>
      <c r="C133" t="str">
        <f>IF(A133=D165,"yes","no")</f>
        <v>no</v>
      </c>
      <c r="D133" t="s">
        <v>765</v>
      </c>
      <c r="E133">
        <v>647192.56000000006</v>
      </c>
      <c r="F133">
        <v>3471319.74</v>
      </c>
    </row>
    <row r="134" spans="1:6" x14ac:dyDescent="0.25">
      <c r="A134" t="s">
        <v>118</v>
      </c>
      <c r="C134" t="str">
        <f>IF(A134=D166,"yes","no")</f>
        <v>no</v>
      </c>
      <c r="D134" t="s">
        <v>766</v>
      </c>
      <c r="E134">
        <v>647416.64</v>
      </c>
      <c r="F134">
        <v>3471047.99</v>
      </c>
    </row>
    <row r="135" spans="1:6" x14ac:dyDescent="0.25">
      <c r="A135" t="s">
        <v>119</v>
      </c>
      <c r="C135" t="str">
        <f>IF(A135=D167,"yes","no")</f>
        <v>no</v>
      </c>
      <c r="D135" t="s">
        <v>767</v>
      </c>
      <c r="E135">
        <v>647630.09</v>
      </c>
      <c r="F135">
        <v>3470789.13</v>
      </c>
    </row>
    <row r="136" spans="1:6" x14ac:dyDescent="0.25">
      <c r="A136" t="s">
        <v>120</v>
      </c>
      <c r="C136" t="str">
        <f>IF(A136=D168,"yes","no")</f>
        <v>no</v>
      </c>
      <c r="D136" t="s">
        <v>768</v>
      </c>
      <c r="E136">
        <v>647886.68999999994</v>
      </c>
      <c r="F136">
        <v>3470477.94</v>
      </c>
    </row>
    <row r="137" spans="1:6" x14ac:dyDescent="0.25">
      <c r="A137" t="s">
        <v>121</v>
      </c>
      <c r="C137" t="str">
        <f>IF(A137=D169,"yes","no")</f>
        <v>no</v>
      </c>
      <c r="D137" t="s">
        <v>769</v>
      </c>
      <c r="E137">
        <v>648673.99</v>
      </c>
      <c r="F137">
        <v>3469147.68</v>
      </c>
    </row>
    <row r="138" spans="1:6" x14ac:dyDescent="0.25">
      <c r="A138" t="s">
        <v>122</v>
      </c>
      <c r="C138" t="str">
        <f>IF(A138=D170,"yes","no")</f>
        <v>no</v>
      </c>
      <c r="D138" t="s">
        <v>770</v>
      </c>
      <c r="E138">
        <v>648798.48</v>
      </c>
      <c r="F138">
        <v>3468786.06</v>
      </c>
    </row>
    <row r="139" spans="1:6" x14ac:dyDescent="0.25">
      <c r="A139" t="s">
        <v>123</v>
      </c>
      <c r="C139" t="str">
        <f>IF(A139=D171,"yes","no")</f>
        <v>no</v>
      </c>
      <c r="D139" t="s">
        <v>771</v>
      </c>
      <c r="E139">
        <v>648915.04</v>
      </c>
      <c r="F139">
        <v>3468447.49</v>
      </c>
    </row>
    <row r="140" spans="1:6" x14ac:dyDescent="0.25">
      <c r="A140" t="s">
        <v>124</v>
      </c>
      <c r="C140" t="str">
        <f>IF(A140=D172,"yes","no")</f>
        <v>no</v>
      </c>
      <c r="D140" t="s">
        <v>772</v>
      </c>
      <c r="E140">
        <v>649029.80000000005</v>
      </c>
      <c r="F140">
        <v>3468114.12</v>
      </c>
    </row>
    <row r="141" spans="1:6" x14ac:dyDescent="0.25">
      <c r="A141" t="s">
        <v>125</v>
      </c>
      <c r="C141" t="str">
        <f>IF(A141=D173,"yes","no")</f>
        <v>no</v>
      </c>
      <c r="D141" t="s">
        <v>773</v>
      </c>
      <c r="E141">
        <v>649140.16</v>
      </c>
      <c r="F141">
        <v>3467793.54</v>
      </c>
    </row>
    <row r="142" spans="1:6" x14ac:dyDescent="0.25">
      <c r="A142" t="s">
        <v>126</v>
      </c>
      <c r="C142" t="str">
        <f>IF(A142=D174,"yes","no")</f>
        <v>no</v>
      </c>
      <c r="D142" t="s">
        <v>774</v>
      </c>
      <c r="E142">
        <v>649254.81000000006</v>
      </c>
      <c r="F142">
        <v>3467460.52</v>
      </c>
    </row>
    <row r="143" spans="1:6" x14ac:dyDescent="0.25">
      <c r="A143" t="s">
        <v>127</v>
      </c>
      <c r="C143" t="str">
        <f>IF(A143=D175,"yes","no")</f>
        <v>no</v>
      </c>
      <c r="D143" t="s">
        <v>775</v>
      </c>
      <c r="E143">
        <v>649353.93000000005</v>
      </c>
      <c r="F143">
        <v>3467172.61</v>
      </c>
    </row>
    <row r="144" spans="1:6" x14ac:dyDescent="0.25">
      <c r="A144" t="s">
        <v>128</v>
      </c>
      <c r="C144" t="str">
        <f>IF(A144=D176,"yes","no")</f>
        <v>no</v>
      </c>
      <c r="D144" t="s">
        <v>776</v>
      </c>
      <c r="E144">
        <v>649464.99</v>
      </c>
      <c r="F144">
        <v>3466850.01</v>
      </c>
    </row>
    <row r="145" spans="1:6" x14ac:dyDescent="0.25">
      <c r="A145" t="s">
        <v>129</v>
      </c>
      <c r="C145" t="str">
        <f>IF(A145=D177,"yes","no")</f>
        <v>no</v>
      </c>
      <c r="D145" t="s">
        <v>777</v>
      </c>
      <c r="E145">
        <v>649565.38</v>
      </c>
      <c r="F145">
        <v>3466558.38</v>
      </c>
    </row>
    <row r="146" spans="1:6" x14ac:dyDescent="0.25">
      <c r="A146" t="s">
        <v>130</v>
      </c>
      <c r="C146" t="str">
        <f>IF(A146=D178,"yes","no")</f>
        <v>no</v>
      </c>
      <c r="D146" t="s">
        <v>778</v>
      </c>
      <c r="E146">
        <v>650306.1</v>
      </c>
      <c r="F146">
        <v>3465383.21</v>
      </c>
    </row>
    <row r="147" spans="1:6" x14ac:dyDescent="0.25">
      <c r="A147" t="s">
        <v>131</v>
      </c>
      <c r="C147" t="str">
        <f>IF(A147=D179,"yes","no")</f>
        <v>no</v>
      </c>
      <c r="D147" t="s">
        <v>779</v>
      </c>
      <c r="E147">
        <v>650543.56000000006</v>
      </c>
      <c r="F147">
        <v>3465138.06</v>
      </c>
    </row>
    <row r="148" spans="1:6" x14ac:dyDescent="0.25">
      <c r="A148" t="s">
        <v>132</v>
      </c>
      <c r="C148" t="str">
        <f>IF(A148=D180,"yes","no")</f>
        <v>no</v>
      </c>
      <c r="D148" t="s">
        <v>780</v>
      </c>
      <c r="E148">
        <v>650780.64</v>
      </c>
      <c r="F148">
        <v>3464893.3</v>
      </c>
    </row>
    <row r="149" spans="1:6" x14ac:dyDescent="0.25">
      <c r="A149" t="s">
        <v>133</v>
      </c>
      <c r="C149" t="str">
        <f>IF(A149=D181,"yes","no")</f>
        <v>no</v>
      </c>
      <c r="D149" t="s">
        <v>781</v>
      </c>
      <c r="E149">
        <v>651002.57999999996</v>
      </c>
      <c r="F149">
        <v>3464664.17</v>
      </c>
    </row>
    <row r="150" spans="1:6" x14ac:dyDescent="0.25">
      <c r="A150" t="s">
        <v>134</v>
      </c>
      <c r="C150" t="str">
        <f>IF(A150=D182,"yes","no")</f>
        <v>no</v>
      </c>
      <c r="D150" t="s">
        <v>782</v>
      </c>
      <c r="E150">
        <v>651260.81999999995</v>
      </c>
      <c r="F150">
        <v>3464397.56</v>
      </c>
    </row>
    <row r="151" spans="1:6" x14ac:dyDescent="0.25">
      <c r="A151" t="s">
        <v>135</v>
      </c>
      <c r="C151" t="str">
        <f>IF(A151=D183,"yes","no")</f>
        <v>no</v>
      </c>
      <c r="D151" t="s">
        <v>783</v>
      </c>
      <c r="E151">
        <v>651479.56000000006</v>
      </c>
      <c r="F151">
        <v>3464171.73</v>
      </c>
    </row>
    <row r="152" spans="1:6" x14ac:dyDescent="0.25">
      <c r="A152" t="s">
        <v>136</v>
      </c>
      <c r="C152" t="str">
        <f>IF(A152=D184,"yes","no")</f>
        <v>no</v>
      </c>
      <c r="D152" t="s">
        <v>784</v>
      </c>
      <c r="E152">
        <v>651731.97</v>
      </c>
      <c r="F152">
        <v>3463911.14</v>
      </c>
    </row>
    <row r="153" spans="1:6" x14ac:dyDescent="0.25">
      <c r="C153" t="str">
        <f>IF(A153=D185,"yes","no")</f>
        <v>no</v>
      </c>
      <c r="D153" t="s">
        <v>785</v>
      </c>
      <c r="E153">
        <v>651924.18999999994</v>
      </c>
      <c r="F153">
        <v>3463712.69</v>
      </c>
    </row>
    <row r="154" spans="1:6" x14ac:dyDescent="0.25">
      <c r="C154" t="str">
        <f>IF(A154=D186,"yes","no")</f>
        <v>no</v>
      </c>
      <c r="D154" t="s">
        <v>786</v>
      </c>
      <c r="E154">
        <v>652107.48</v>
      </c>
      <c r="F154">
        <v>3463523.46</v>
      </c>
    </row>
    <row r="155" spans="1:6" x14ac:dyDescent="0.25">
      <c r="C155" t="str">
        <f>IF(A155=D187,"yes","no")</f>
        <v>no</v>
      </c>
      <c r="D155" t="s">
        <v>787</v>
      </c>
      <c r="E155">
        <v>652338.81999999995</v>
      </c>
      <c r="F155">
        <v>3463284.62</v>
      </c>
    </row>
    <row r="156" spans="1:6" x14ac:dyDescent="0.25">
      <c r="C156" t="str">
        <f>IF(A156=D188,"yes","no")</f>
        <v>no</v>
      </c>
      <c r="D156" t="s">
        <v>788</v>
      </c>
      <c r="E156">
        <v>652527.93999999994</v>
      </c>
      <c r="F156">
        <v>3463089.38</v>
      </c>
    </row>
    <row r="157" spans="1:6" x14ac:dyDescent="0.25">
      <c r="C157" t="str">
        <f>IF(A157=D189,"yes","no")</f>
        <v>no</v>
      </c>
      <c r="D157" t="s">
        <v>789</v>
      </c>
      <c r="E157">
        <v>652815.80000000005</v>
      </c>
      <c r="F157">
        <v>3462792.18</v>
      </c>
    </row>
    <row r="158" spans="1:6" x14ac:dyDescent="0.25">
      <c r="C158" t="str">
        <f>IF(A158=D190,"yes","no")</f>
        <v>no</v>
      </c>
      <c r="D158" t="s">
        <v>790</v>
      </c>
      <c r="E158">
        <v>653028.9</v>
      </c>
      <c r="F158">
        <v>3462572.18</v>
      </c>
    </row>
    <row r="159" spans="1:6" x14ac:dyDescent="0.25">
      <c r="C159" t="str">
        <f>IF(A159=D191,"yes","no")</f>
        <v>no</v>
      </c>
      <c r="D159" t="s">
        <v>791</v>
      </c>
      <c r="E159">
        <v>653183.13</v>
      </c>
      <c r="F159">
        <v>3462412.95</v>
      </c>
    </row>
    <row r="160" spans="1:6" x14ac:dyDescent="0.25">
      <c r="C160" t="str">
        <f>IF(A160=D192,"yes","no")</f>
        <v>no</v>
      </c>
      <c r="D160" t="s">
        <v>792</v>
      </c>
      <c r="E160">
        <v>653562.43999999994</v>
      </c>
      <c r="F160">
        <v>3461978.24</v>
      </c>
    </row>
    <row r="161" spans="3:6" x14ac:dyDescent="0.25">
      <c r="C161" t="str">
        <f>IF(A161=D193,"yes","no")</f>
        <v>no</v>
      </c>
      <c r="D161" t="s">
        <v>793</v>
      </c>
      <c r="E161">
        <v>653802.89</v>
      </c>
      <c r="F161">
        <v>3461716.32</v>
      </c>
    </row>
    <row r="162" spans="3:6" x14ac:dyDescent="0.25">
      <c r="C162" t="str">
        <f>IF(A162=D194,"yes","no")</f>
        <v>no</v>
      </c>
      <c r="D162" t="s">
        <v>794</v>
      </c>
      <c r="E162">
        <v>654070.72</v>
      </c>
      <c r="F162">
        <v>3461069.89</v>
      </c>
    </row>
    <row r="163" spans="3:6" x14ac:dyDescent="0.25">
      <c r="C163" t="str">
        <f>IF(A163=D195,"yes","no")</f>
        <v>no</v>
      </c>
      <c r="D163" t="s">
        <v>795</v>
      </c>
      <c r="E163">
        <v>654075.52</v>
      </c>
      <c r="F163">
        <v>3460708.62</v>
      </c>
    </row>
    <row r="164" spans="3:6" x14ac:dyDescent="0.25">
      <c r="C164" t="str">
        <f>IF(A164=D196,"yes","no")</f>
        <v>no</v>
      </c>
      <c r="D164" t="s">
        <v>796</v>
      </c>
      <c r="E164">
        <v>654277.14</v>
      </c>
      <c r="F164">
        <v>3460067.38</v>
      </c>
    </row>
    <row r="165" spans="3:6" x14ac:dyDescent="0.25">
      <c r="C165" t="str">
        <f>IF(A165=D197,"yes","no")</f>
        <v>no</v>
      </c>
      <c r="D165" t="s">
        <v>797</v>
      </c>
      <c r="E165">
        <v>654629.82999999996</v>
      </c>
      <c r="F165">
        <v>3459727.88</v>
      </c>
    </row>
    <row r="166" spans="3:6" x14ac:dyDescent="0.25">
      <c r="C166" t="str">
        <f>IF(A166=D198,"yes","no")</f>
        <v>no</v>
      </c>
      <c r="D166" t="s">
        <v>798</v>
      </c>
      <c r="E166">
        <v>654956.28</v>
      </c>
      <c r="F166">
        <v>3458980.27</v>
      </c>
    </row>
    <row r="167" spans="3:6" x14ac:dyDescent="0.25">
      <c r="C167" t="str">
        <f>IF(A167=D199,"yes","no")</f>
        <v>no</v>
      </c>
      <c r="D167" t="s">
        <v>799</v>
      </c>
      <c r="E167">
        <v>654963.94999999995</v>
      </c>
      <c r="F167">
        <v>3458384.8</v>
      </c>
    </row>
    <row r="168" spans="3:6" x14ac:dyDescent="0.25">
      <c r="C168" t="str">
        <f>IF(A168=D200,"yes","no")</f>
        <v>no</v>
      </c>
      <c r="D168" t="s">
        <v>800</v>
      </c>
      <c r="E168">
        <v>654937.38</v>
      </c>
      <c r="F168">
        <v>3457499.24</v>
      </c>
    </row>
    <row r="169" spans="3:6" x14ac:dyDescent="0.25">
      <c r="C169" t="str">
        <f>IF(A169=D201,"yes","no")</f>
        <v>yes</v>
      </c>
      <c r="D169" t="s">
        <v>801</v>
      </c>
      <c r="E169">
        <v>654965.11</v>
      </c>
      <c r="F169">
        <v>3456613.67</v>
      </c>
    </row>
    <row r="170" spans="3:6" x14ac:dyDescent="0.25">
      <c r="C170" t="str">
        <f>IF(A170=D202,"yes","no")</f>
        <v>yes</v>
      </c>
      <c r="D170" t="s">
        <v>802</v>
      </c>
      <c r="E170">
        <v>654997.93000000005</v>
      </c>
      <c r="F170">
        <v>3455776.09</v>
      </c>
    </row>
    <row r="171" spans="3:6" x14ac:dyDescent="0.25">
      <c r="C171" t="str">
        <f>IF(A171=D203,"yes","no")</f>
        <v>no</v>
      </c>
      <c r="D171" t="s">
        <v>803</v>
      </c>
      <c r="E171">
        <v>655005.52</v>
      </c>
      <c r="F171">
        <v>3455173.89</v>
      </c>
    </row>
    <row r="172" spans="3:6" x14ac:dyDescent="0.25">
      <c r="D172" t="s">
        <v>804</v>
      </c>
      <c r="E172">
        <v>654998.87</v>
      </c>
      <c r="F172">
        <v>3454325.2</v>
      </c>
    </row>
    <row r="173" spans="3:6" x14ac:dyDescent="0.25">
      <c r="D173" t="s">
        <v>805</v>
      </c>
      <c r="E173">
        <v>655004.03</v>
      </c>
      <c r="F173">
        <v>3453837.52</v>
      </c>
    </row>
    <row r="174" spans="3:6" x14ac:dyDescent="0.25">
      <c r="D174" t="s">
        <v>806</v>
      </c>
      <c r="E174">
        <v>655008.17000000004</v>
      </c>
      <c r="F174">
        <v>3453446.25</v>
      </c>
    </row>
    <row r="175" spans="3:6" x14ac:dyDescent="0.25">
      <c r="D175" t="s">
        <v>807</v>
      </c>
      <c r="E175">
        <v>655051.57999999996</v>
      </c>
      <c r="F175">
        <v>3452524.3</v>
      </c>
    </row>
    <row r="176" spans="3:6" x14ac:dyDescent="0.25">
      <c r="D176" t="s">
        <v>808</v>
      </c>
      <c r="E176">
        <v>655054.59</v>
      </c>
      <c r="F176">
        <v>3452120.84</v>
      </c>
    </row>
    <row r="177" spans="4:6" x14ac:dyDescent="0.25">
      <c r="D177" t="s">
        <v>809</v>
      </c>
      <c r="E177">
        <v>655058.81999999995</v>
      </c>
      <c r="F177">
        <v>3451554.47</v>
      </c>
    </row>
    <row r="178" spans="4:6" x14ac:dyDescent="0.25">
      <c r="D178" t="s">
        <v>810</v>
      </c>
      <c r="E178">
        <v>655027.28</v>
      </c>
      <c r="F178">
        <v>3450964.75</v>
      </c>
    </row>
    <row r="179" spans="4:6" x14ac:dyDescent="0.25">
      <c r="D179" t="s">
        <v>811</v>
      </c>
      <c r="E179">
        <v>655007.98</v>
      </c>
      <c r="F179">
        <v>3449802.07</v>
      </c>
    </row>
    <row r="180" spans="4:6" x14ac:dyDescent="0.25">
      <c r="D180" t="s">
        <v>812</v>
      </c>
      <c r="E180">
        <v>655014.35</v>
      </c>
      <c r="F180">
        <v>3449398.59</v>
      </c>
    </row>
    <row r="181" spans="4:6" x14ac:dyDescent="0.25">
      <c r="D181" t="s">
        <v>813</v>
      </c>
      <c r="E181">
        <v>655021.85</v>
      </c>
      <c r="F181">
        <v>3448922.95</v>
      </c>
    </row>
    <row r="182" spans="4:6" x14ac:dyDescent="0.25">
      <c r="D182" t="s">
        <v>814</v>
      </c>
      <c r="E182">
        <v>655028.42000000004</v>
      </c>
      <c r="F182">
        <v>3448506.77</v>
      </c>
    </row>
    <row r="183" spans="4:6" x14ac:dyDescent="0.25">
      <c r="D183" t="s">
        <v>815</v>
      </c>
      <c r="E183">
        <v>655035.82999999996</v>
      </c>
      <c r="F183">
        <v>3448037.44</v>
      </c>
    </row>
    <row r="184" spans="4:6" x14ac:dyDescent="0.25">
      <c r="D184" t="s">
        <v>816</v>
      </c>
      <c r="E184">
        <v>655041.73</v>
      </c>
      <c r="F184">
        <v>3447663.49</v>
      </c>
    </row>
    <row r="185" spans="4:6" x14ac:dyDescent="0.25">
      <c r="D185" t="s">
        <v>817</v>
      </c>
      <c r="E185">
        <v>655047.31999999995</v>
      </c>
      <c r="F185">
        <v>3447308.84</v>
      </c>
    </row>
    <row r="186" spans="4:6" x14ac:dyDescent="0.25">
      <c r="D186" t="s">
        <v>818</v>
      </c>
      <c r="E186">
        <v>655053.01</v>
      </c>
      <c r="F186">
        <v>3446948.17</v>
      </c>
    </row>
    <row r="187" spans="4:6" x14ac:dyDescent="0.25">
      <c r="D187" t="s">
        <v>222</v>
      </c>
      <c r="E187">
        <v>653629.23400000005</v>
      </c>
      <c r="F187">
        <v>3442168.0419999999</v>
      </c>
    </row>
    <row r="188" spans="4:6" x14ac:dyDescent="0.25">
      <c r="D188" t="s">
        <v>223</v>
      </c>
      <c r="E188">
        <v>652658.60100000002</v>
      </c>
      <c r="F188">
        <v>3445169.196</v>
      </c>
    </row>
    <row r="189" spans="4:6" x14ac:dyDescent="0.25">
      <c r="D189" t="s">
        <v>224</v>
      </c>
      <c r="E189">
        <v>653116.02599999995</v>
      </c>
      <c r="F189">
        <v>3445738.1880000001</v>
      </c>
    </row>
    <row r="190" spans="4:6" x14ac:dyDescent="0.25">
      <c r="D190" t="s">
        <v>225</v>
      </c>
      <c r="E190">
        <v>653673.86100000003</v>
      </c>
      <c r="F190">
        <v>3446385.2769999998</v>
      </c>
    </row>
    <row r="191" spans="4:6" x14ac:dyDescent="0.25">
      <c r="D191" t="s">
        <v>226</v>
      </c>
      <c r="E191">
        <v>655793.63500000001</v>
      </c>
      <c r="F191">
        <v>3446061.733</v>
      </c>
    </row>
    <row r="192" spans="4:6" x14ac:dyDescent="0.25">
      <c r="D192" t="s">
        <v>227</v>
      </c>
      <c r="E192">
        <v>655403.15099999995</v>
      </c>
      <c r="F192">
        <v>3445381.173</v>
      </c>
    </row>
    <row r="193" spans="4:6" x14ac:dyDescent="0.25">
      <c r="D193" t="s">
        <v>228</v>
      </c>
      <c r="E193">
        <v>655235.80000000005</v>
      </c>
      <c r="F193">
        <v>3444968.375</v>
      </c>
    </row>
    <row r="194" spans="4:6" x14ac:dyDescent="0.25">
      <c r="D194" t="s">
        <v>229</v>
      </c>
      <c r="E194">
        <v>655603.97100000002</v>
      </c>
      <c r="F194">
        <v>3444934.9049999998</v>
      </c>
    </row>
    <row r="195" spans="4:6" x14ac:dyDescent="0.25">
      <c r="D195" t="s">
        <v>230</v>
      </c>
      <c r="E195">
        <v>657054.34299999999</v>
      </c>
      <c r="F195">
        <v>3445570.8369999998</v>
      </c>
    </row>
    <row r="196" spans="4:6" x14ac:dyDescent="0.25">
      <c r="D196" t="s">
        <v>231</v>
      </c>
      <c r="E196">
        <v>657902.25300000003</v>
      </c>
      <c r="F196">
        <v>3444008.898</v>
      </c>
    </row>
    <row r="197" spans="4:6" x14ac:dyDescent="0.25">
      <c r="D197" t="s">
        <v>232</v>
      </c>
      <c r="E197">
        <v>656630.38800000004</v>
      </c>
      <c r="F197">
        <v>3442123.415</v>
      </c>
    </row>
    <row r="198" spans="4:6" x14ac:dyDescent="0.25">
      <c r="D198" t="s">
        <v>233</v>
      </c>
      <c r="E198">
        <v>656920.46299999999</v>
      </c>
      <c r="F198">
        <v>3445916.6949999998</v>
      </c>
    </row>
    <row r="199" spans="4:6" x14ac:dyDescent="0.25">
      <c r="D199" t="s">
        <v>234</v>
      </c>
      <c r="E199">
        <v>655559.34499999997</v>
      </c>
      <c r="F199">
        <v>3442112.2579999999</v>
      </c>
    </row>
    <row r="200" spans="4:6" x14ac:dyDescent="0.25">
      <c r="D200" t="s">
        <v>235</v>
      </c>
      <c r="E200">
        <v>654443.674</v>
      </c>
      <c r="F200">
        <v>3442156.8849999998</v>
      </c>
    </row>
    <row r="203" spans="4:6" x14ac:dyDescent="0.25">
      <c r="D203" t="s">
        <v>197</v>
      </c>
      <c r="E203">
        <v>654842.39</v>
      </c>
      <c r="F203">
        <v>3446327.57</v>
      </c>
    </row>
    <row r="204" spans="4:6" x14ac:dyDescent="0.25">
      <c r="D204" t="s">
        <v>199</v>
      </c>
      <c r="E204">
        <v>654857.98699999996</v>
      </c>
      <c r="F204">
        <v>3446348.8489999999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H12" sqref="A1:H12"/>
    </sheetView>
  </sheetViews>
  <sheetFormatPr defaultRowHeight="15" x14ac:dyDescent="0.25"/>
  <cols>
    <col min="4" max="4" width="11.7109375" style="1" bestFit="1" customWidth="1"/>
  </cols>
  <sheetData>
    <row r="1" spans="1:6" x14ac:dyDescent="0.25">
      <c r="A1" t="s">
        <v>39</v>
      </c>
    </row>
    <row r="2" spans="1:6" x14ac:dyDescent="0.25">
      <c r="A2" t="s">
        <v>40</v>
      </c>
      <c r="D2" s="1">
        <v>500000</v>
      </c>
      <c r="E2" t="s">
        <v>45</v>
      </c>
    </row>
    <row r="3" spans="1:6" x14ac:dyDescent="0.25">
      <c r="A3" t="s">
        <v>41</v>
      </c>
      <c r="D3" s="1">
        <v>500000</v>
      </c>
      <c r="E3" t="s">
        <v>45</v>
      </c>
    </row>
    <row r="4" spans="1:6" x14ac:dyDescent="0.25">
      <c r="A4" t="s">
        <v>42</v>
      </c>
      <c r="D4" s="1">
        <v>1000000</v>
      </c>
      <c r="E4" t="s">
        <v>45</v>
      </c>
    </row>
    <row r="5" spans="1:6" x14ac:dyDescent="0.25">
      <c r="A5" t="s">
        <v>43</v>
      </c>
      <c r="D5" s="1">
        <v>1000000</v>
      </c>
      <c r="E5" t="s">
        <v>45</v>
      </c>
    </row>
    <row r="6" spans="1:6" x14ac:dyDescent="0.25">
      <c r="A6" t="s">
        <v>44</v>
      </c>
      <c r="D6" s="1">
        <f>(18/12)*(0.25)*PI()*21*5280*7.48</f>
        <v>977093.12057125184</v>
      </c>
      <c r="E6" t="s">
        <v>45</v>
      </c>
      <c r="F6" t="s">
        <v>46</v>
      </c>
    </row>
    <row r="7" spans="1:6" x14ac:dyDescent="0.25">
      <c r="A7" t="s">
        <v>47</v>
      </c>
      <c r="D7" s="1">
        <f>SUM(D2:D6)</f>
        <v>3977093.120571252</v>
      </c>
      <c r="E7" t="s">
        <v>45</v>
      </c>
    </row>
    <row r="8" spans="1:6" x14ac:dyDescent="0.25">
      <c r="A8" t="s">
        <v>51</v>
      </c>
    </row>
    <row r="9" spans="1:6" x14ac:dyDescent="0.25">
      <c r="A9" t="s">
        <v>35</v>
      </c>
      <c r="D9" s="1">
        <v>2100</v>
      </c>
      <c r="E9" t="s">
        <v>52</v>
      </c>
      <c r="F9" t="s">
        <v>53</v>
      </c>
    </row>
    <row r="10" spans="1:6" x14ac:dyDescent="0.25">
      <c r="A10" t="s">
        <v>36</v>
      </c>
      <c r="D10" s="1">
        <f>D7/D9</f>
        <v>1893.8538669386915</v>
      </c>
      <c r="E10" t="s">
        <v>48</v>
      </c>
    </row>
    <row r="11" spans="1:6" x14ac:dyDescent="0.25">
      <c r="A11" t="s">
        <v>37</v>
      </c>
      <c r="D11" s="1">
        <f>D10/60</f>
        <v>31.564231115644859</v>
      </c>
      <c r="E11" t="s">
        <v>49</v>
      </c>
    </row>
    <row r="12" spans="1:6" x14ac:dyDescent="0.25">
      <c r="A12" t="s">
        <v>38</v>
      </c>
      <c r="D12" s="1">
        <f>D11/24</f>
        <v>1.3151762964852025</v>
      </c>
      <c r="E12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ID-lat-lon-in-order</vt:lpstr>
      <vt:lpstr>Sheet2</vt:lpstr>
    </vt:vector>
  </TitlesOfParts>
  <Company>Texas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Cleveland, Theodore</dc:creator>
  <cp:lastModifiedBy>Cleveland, Theodore</cp:lastModifiedBy>
  <dcterms:created xsi:type="dcterms:W3CDTF">2024-02-14T17:54:48Z</dcterms:created>
  <dcterms:modified xsi:type="dcterms:W3CDTF">2024-02-26T21:12:38Z</dcterms:modified>
</cp:coreProperties>
</file>